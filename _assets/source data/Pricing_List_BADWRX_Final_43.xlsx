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ON COMPARISON" sheetId="1" state="visible" r:id="rId3"/>
    <sheet name="MY PICKS" sheetId="2" state="visible" r:id="rId4"/>
    <sheet name="BUILD TRACKER" sheetId="3" state="visible" r:id="rId5"/>
    <sheet name="DEALER COST BUILDS" sheetId="4" state="visible" r:id="rId6"/>
    <sheet name="INVENTORY" sheetId="5" state="visible" r:id="rId7"/>
    <sheet name="MASTER DEALER PRICE LIST" sheetId="6" state="visible" r:id="rId8"/>
    <sheet name="WEBSITE DA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<sst xmlns="http://schemas.openxmlformats.org/spreadsheetml/2006/main" count="3234" uniqueCount="2187">
  <si>
    <t xml:space="preserve">BADWRX — ACTION MANUFACTURER PRICING COMPARISON</t>
  </si>
  <si>
    <t xml:space="preserve">All prices read directly from vendor pricing sheets on file · Compiled May 2026 · Verify before ordering</t>
  </si>
  <si>
    <t xml:space="preserve">DEFIANCE MACHINE — ✔ Marking variance (formal program) | Tier 1 (made to order) &lt;50/yr | Tier 2 &gt;50/yr | Effective 01/01/2026</t>
  </si>
  <si>
    <t xml:space="preserve">Action</t>
  </si>
  <si>
    <t xml:space="preserve">Retail</t>
  </si>
  <si>
    <t xml:space="preserve">Tier 1</t>
  </si>
  <si>
    <t xml:space="preserve">Tier 2</t>
  </si>
  <si>
    <t xml:space="preserve">Notes</t>
  </si>
  <si>
    <t xml:space="preserve">Rebel (3-Pos)</t>
  </si>
  <si>
    <t xml:space="preserve">Three-position safety</t>
  </si>
  <si>
    <t xml:space="preserve">Deviant</t>
  </si>
  <si>
    <t xml:space="preserve">Deviant COMP</t>
  </si>
  <si>
    <t xml:space="preserve">No-frills, nitride incl.</t>
  </si>
  <si>
    <t xml:space="preserve">Deviant CRF</t>
  </si>
  <si>
    <t xml:space="preserve">Controlled Round Feed</t>
  </si>
  <si>
    <t xml:space="preserve">Elite</t>
  </si>
  <si>
    <t xml:space="preserve">Ruckus</t>
  </si>
  <si>
    <t xml:space="preserve">anTi X (Steel)</t>
  </si>
  <si>
    <t xml:space="preserve">anTi (Steel)</t>
  </si>
  <si>
    <t xml:space="preserve">Ti (Titanium)</t>
  </si>
  <si>
    <t xml:space="preserve">Titanium</t>
  </si>
  <si>
    <t xml:space="preserve">Ti X (Titanium)</t>
  </si>
  <si>
    <t xml:space="preserve">Renegade</t>
  </si>
  <si>
    <t xml:space="preserve">Misfit</t>
  </si>
  <si>
    <t xml:space="preserve">Entry level, integral lug</t>
  </si>
  <si>
    <t xml:space="preserve">Outcast</t>
  </si>
  <si>
    <t xml:space="preserve">ZERMATT ARMS — ✔ NO marking variance fee | Tier 1 = 1-20/yr | Tier 2 = 20+/yr | ⚠ 6-MONTH BACKORDER on all models</t>
  </si>
  <si>
    <t xml:space="preserve">MAP</t>
  </si>
  <si>
    <t xml:space="preserve">Tier 1 (1-20)</t>
  </si>
  <si>
    <t xml:space="preserve">Tier 2 (20+)</t>
  </si>
  <si>
    <t xml:space="preserve">RimX Action + Magazine</t>
  </si>
  <si>
    <t xml:space="preserve">.22LR rimfire conversion</t>
  </si>
  <si>
    <t xml:space="preserve">RimX Conversion Kit</t>
  </si>
  <si>
    <t xml:space="preserve">Origin Short Action</t>
  </si>
  <si>
    <t xml:space="preserve">⚠ 6-month backorder</t>
  </si>
  <si>
    <t xml:space="preserve">Origin Long Action</t>
  </si>
  <si>
    <t xml:space="preserve">TL3/SR3 Short Action</t>
  </si>
  <si>
    <t xml:space="preserve">TL3/SR3 Short Action – DLC</t>
  </si>
  <si>
    <t xml:space="preserve">DLC coated</t>
  </si>
  <si>
    <t xml:space="preserve">TL3/SR3 Long Action</t>
  </si>
  <si>
    <t xml:space="preserve">TL3/SR3 Long Action – DLC</t>
  </si>
  <si>
    <t xml:space="preserve">Ti3 Actions</t>
  </si>
  <si>
    <t xml:space="preserve">Tier 1 (1-4)</t>
  </si>
  <si>
    <t xml:space="preserve">Tier 2 (5-10)</t>
  </si>
  <si>
    <t xml:space="preserve">Tier 3 (11-25)</t>
  </si>
  <si>
    <t xml:space="preserve">Tier 4 (26+)</t>
  </si>
  <si>
    <t xml:space="preserve">Ti3 Short Action</t>
  </si>
  <si>
    <t xml:space="preserve">Ti3 Medium / Long Action</t>
  </si>
  <si>
    <t xml:space="preserve">KELBLY'S — ✔ NO variance fee | 25/yr for marking variance | Soft quota | Ships monthly batches | No upfront | Dealer 15% / Dist 25% (10+) / Dist 30% (25+/yr)</t>
  </si>
  <si>
    <t xml:space="preserve">Dealer 15%</t>
  </si>
  <si>
    <t xml:space="preserve">Dist 25% (10+)</t>
  </si>
  <si>
    <t xml:space="preserve">Dist 30% (25+)</t>
  </si>
  <si>
    <t xml:space="preserve">Atlas (75/90°) — Sanded</t>
  </si>
  <si>
    <t xml:space="preserve">Sanded finish</t>
  </si>
  <si>
    <t xml:space="preserve">Atlas (75/90°) — BlackNitride</t>
  </si>
  <si>
    <t xml:space="preserve">BlackNitride</t>
  </si>
  <si>
    <t xml:space="preserve">Long Atlas (75/90°) — Sanded</t>
  </si>
  <si>
    <t xml:space="preserve">Long Atlas (75/90°) — BlackNitride</t>
  </si>
  <si>
    <t xml:space="preserve">Atlas Lite (75/90°)</t>
  </si>
  <si>
    <t xml:space="preserve">Long Atlas Lite (75/90°)</t>
  </si>
  <si>
    <t xml:space="preserve">Long Atlas Lite .338 (75/90°)</t>
  </si>
  <si>
    <t xml:space="preserve">.338 Lapua</t>
  </si>
  <si>
    <t xml:space="preserve">Atlas Tactical (75/90°)</t>
  </si>
  <si>
    <t xml:space="preserve">Long Atlas Tactical (75/90°)</t>
  </si>
  <si>
    <t xml:space="preserve">.338 Lapua Atlas Tactical (75/90°)</t>
  </si>
  <si>
    <t xml:space="preserve">Atlas Tactical w/ Trigger Pins (75/90°)</t>
  </si>
  <si>
    <t xml:space="preserve">Long Atlas Tactical w/ Trigger Pins</t>
  </si>
  <si>
    <t xml:space="preserve">Long Atlas 338 w/ Trigger Pins</t>
  </si>
  <si>
    <t xml:space="preserve">Atlas Muzzleloader (75/90°)</t>
  </si>
  <si>
    <t xml:space="preserve">Prometheus — .223/.308/PPC bolt face</t>
  </si>
  <si>
    <t xml:space="preserve">Prometheus — .532 Magnum bolt face</t>
  </si>
  <si>
    <t xml:space="preserve">Prometheus — .338 bolt face</t>
  </si>
  <si>
    <t xml:space="preserve">Prometheus BR</t>
  </si>
  <si>
    <t xml:space="preserve">Long Prometheus</t>
  </si>
  <si>
    <t xml:space="preserve">Long Prometheus .338</t>
  </si>
  <si>
    <t xml:space="preserve">Nanook</t>
  </si>
  <si>
    <t xml:space="preserve">Long Nanook</t>
  </si>
  <si>
    <t xml:space="preserve">Long Nanook .338</t>
  </si>
  <si>
    <t xml:space="preserve">F-Class Panda w/ 20 MOA Picatinny</t>
  </si>
  <si>
    <t xml:space="preserve">F-Class benchrest</t>
  </si>
  <si>
    <t xml:space="preserve">STILLER'S — ✔ Marking variance ($1,500 one-time setup) | BADWRX = Dealer 1 (20-unit bracket) per Chris Taggart VP Sales</t>
  </si>
  <si>
    <t xml:space="preserve">MSRP</t>
  </si>
  <si>
    <t xml:space="preserve">FFL (6+)</t>
  </si>
  <si>
    <t xml:space="preserve">Dealer 1 (20+)</t>
  </si>
  <si>
    <t xml:space="preserve">Dealer 2 (40+)</t>
  </si>
  <si>
    <t xml:space="preserve">Category</t>
  </si>
  <si>
    <t xml:space="preserve">Predator Short Action / Medium</t>
  </si>
  <si>
    <t xml:space="preserve">Sport</t>
  </si>
  <si>
    <t xml:space="preserve">TAC 30</t>
  </si>
  <si>
    <t xml:space="preserve">Predator Long Action</t>
  </si>
  <si>
    <t xml:space="preserve">TAC 300</t>
  </si>
  <si>
    <t xml:space="preserve">Mark 13</t>
  </si>
  <si>
    <t xml:space="preserve">Wombat</t>
  </si>
  <si>
    <t xml:space="preserve">TAC 338</t>
  </si>
  <si>
    <t xml:space="preserve">Big Bore</t>
  </si>
  <si>
    <t xml:space="preserve">Driver</t>
  </si>
  <si>
    <t xml:space="preserve">TAC 408</t>
  </si>
  <si>
    <t xml:space="preserve">DISCONTINUED</t>
  </si>
  <si>
    <t xml:space="preserve">Predator V</t>
  </si>
  <si>
    <t xml:space="preserve">Competition</t>
  </si>
  <si>
    <t xml:space="preserve">LONE PEAK ARMS (now MDT) — ❌ No marking variance at this time | Tier 1 = 1-49/yr | Tier 2 = 50+/yr | Pricing as of 01/01/2023 — VERIFY current pricing</t>
  </si>
  <si>
    <t xml:space="preserve">Tier 1 (1-49)</t>
  </si>
  <si>
    <t xml:space="preserve">Tier 2 (50+)</t>
  </si>
  <si>
    <t xml:space="preserve">Fuzion</t>
  </si>
  <si>
    <t xml:space="preserve">Standard stainless</t>
  </si>
  <si>
    <t xml:space="preserve">Fuzion 338</t>
  </si>
  <si>
    <t xml:space="preserve">.338 Lapua bolt face</t>
  </si>
  <si>
    <t xml:space="preserve">Fuzion-Ti</t>
  </si>
  <si>
    <t xml:space="preserve">Fuzion-Ti 338</t>
  </si>
  <si>
    <t xml:space="preserve">Titanium, .338 Lapua</t>
  </si>
  <si>
    <t xml:space="preserve">Razor</t>
  </si>
  <si>
    <t xml:space="preserve">Cheapest LPA action</t>
  </si>
  <si>
    <t xml:space="preserve">Razor-Ti</t>
  </si>
  <si>
    <t xml:space="preserve">Razor-Ti 338</t>
  </si>
  <si>
    <t xml:space="preserve">KAUGER ARMS — ✔ Marking variance ($200 one-time laser setup) | 20% dealer discount | Lead time: DAYS | Est. 1994 | 2 sample actions incoming</t>
  </si>
  <si>
    <t xml:space="preserve">My Cost (20% off)</t>
  </si>
  <si>
    <t xml:space="preserve">VPR SST Action Short</t>
  </si>
  <si>
    <t xml:space="preserve">Rem 700 footprint, stainless</t>
  </si>
  <si>
    <t xml:space="preserve">VPR SST Action Long</t>
  </si>
  <si>
    <t xml:space="preserve">VPR SST .338 Lapua Magnum Action RH</t>
  </si>
  <si>
    <t xml:space="preserve">.338 Lapua, right hand</t>
  </si>
  <si>
    <t xml:space="preserve">CRS (Competitive Rifle Sports)</t>
  </si>
  <si>
    <t xml:space="preserve">PRS/competition</t>
  </si>
  <si>
    <t xml:space="preserve">Dual Port Benchrest "BR"</t>
  </si>
  <si>
    <t xml:space="preserve">Benchrest, dual port</t>
  </si>
  <si>
    <t xml:space="preserve">CRS 2 (With Trigger Hanger)</t>
  </si>
  <si>
    <t xml:space="preserve">Dual Port Benchrest "BR II"</t>
  </si>
  <si>
    <t xml:space="preserve">Drop port available</t>
  </si>
  <si>
    <t xml:space="preserve">Elite Short Action (Light Weight)</t>
  </si>
  <si>
    <t xml:space="preserve">Lightweight</t>
  </si>
  <si>
    <t xml:space="preserve">Elite Long Action (Light Weight)</t>
  </si>
  <si>
    <t xml:space="preserve">Dual Port Benchrest "BRIII"</t>
  </si>
  <si>
    <t xml:space="preserve">Top benchrest line</t>
  </si>
  <si>
    <t xml:space="preserve">Nitride Finish (add-on)</t>
  </si>
  <si>
    <t xml:space="preserve">20% off confirmed</t>
  </si>
  <si>
    <t xml:space="preserve">Marking Variance Setup Fee (one-time)</t>
  </si>
  <si>
    <t xml:space="preserve">No discount on setup fee</t>
  </si>
  <si>
    <t xml:space="preserve">MACK BROTHERS — ❌ No marking variance | Dealer pricing 2026 | Sturgis SD | Dale Mack, Co-Owner</t>
  </si>
  <si>
    <t xml:space="preserve">Dealer</t>
  </si>
  <si>
    <t xml:space="preserve">EVO II Stainless SA</t>
  </si>
  <si>
    <t xml:space="preserve">Rem 700 footprint</t>
  </si>
  <si>
    <t xml:space="preserve">EVO II Stainless LA</t>
  </si>
  <si>
    <t xml:space="preserve">EVO II Muzzle Loader</t>
  </si>
  <si>
    <t xml:space="preserve">EVO II Single Shot</t>
  </si>
  <si>
    <t xml:space="preserve">Element SA</t>
  </si>
  <si>
    <t xml:space="preserve">⚠ Dealer &gt; retail — VERIFY</t>
  </si>
  <si>
    <t xml:space="preserve">Element LA</t>
  </si>
  <si>
    <t xml:space="preserve">IMPACT PRECISION — ⏳ Not accepting new dealers (personnel change in sales) | Follow up mid-July 2026 with Tate | Marking variance TBD</t>
  </si>
  <si>
    <t xml:space="preserve">Contact: Charlene Herring | sales@impactprecisionshooting.com | 580-371-2510 | Wewoka, OK 74884</t>
  </si>
  <si>
    <t xml:space="preserve">MARKING VARIANCE STATUS SUMMARY</t>
  </si>
  <si>
    <t xml:space="preserve">Vendor</t>
  </si>
  <si>
    <t xml:space="preserve">Variance?</t>
  </si>
  <si>
    <t xml:space="preserve">Fee</t>
  </si>
  <si>
    <t xml:space="preserve">MOQ</t>
  </si>
  <si>
    <t xml:space="preserve">Upfront Cost</t>
  </si>
  <si>
    <t xml:space="preserve">Zermatt Arms</t>
  </si>
  <si>
    <t xml:space="preserve">✔ YES — Free</t>
  </si>
  <si>
    <t xml:space="preserve">$0</t>
  </si>
  <si>
    <t xml:space="preserve">None</t>
  </si>
  <si>
    <t xml:space="preserve">Free variance — but 6-month backorder on all models</t>
  </si>
  <si>
    <t xml:space="preserve">Kelbly's</t>
  </si>
  <si>
    <t xml:space="preserve">25/yr soft</t>
  </si>
  <si>
    <t xml:space="preserve">Ships monthly batches, no quota enforcement after yr 1</t>
  </si>
  <si>
    <t xml:space="preserve">Kauger Arms</t>
  </si>
  <si>
    <t xml:space="preserve">✔ YES — $200</t>
  </si>
  <si>
    <t xml:space="preserve">$200</t>
  </si>
  <si>
    <t xml:space="preserve">TBD</t>
  </si>
  <si>
    <t xml:space="preserve">One-time laser setup — confirmed by Adam Kauger phone call</t>
  </si>
  <si>
    <t xml:space="preserve">Defiance Machine</t>
  </si>
  <si>
    <t xml:space="preserve">✔ YES</t>
  </si>
  <si>
    <t xml:space="preserve">Setup $</t>
  </si>
  <si>
    <t xml:space="preserve">Tier-based</t>
  </si>
  <si>
    <t xml:space="preserve">Yes</t>
  </si>
  <si>
    <t xml:space="preserve">Formal program — contact for fee details</t>
  </si>
  <si>
    <t xml:space="preserve">Stiller's</t>
  </si>
  <si>
    <t xml:space="preserve">✔ YES — $1,500</t>
  </si>
  <si>
    <t xml:space="preserve">$1,500</t>
  </si>
  <si>
    <t xml:space="preserve">20 units</t>
  </si>
  <si>
    <t xml:space="preserve">High upfront — per Chris Taggart VP Sales email</t>
  </si>
  <si>
    <t xml:space="preserve">Pure Precision</t>
  </si>
  <si>
    <t xml:space="preserve">✔ YES — TBD</t>
  </si>
  <si>
    <t xml:space="preserve">Confirmed available — details pending</t>
  </si>
  <si>
    <t xml:space="preserve">Lone Peak / MDT</t>
  </si>
  <si>
    <t xml:space="preserve">❌ NO</t>
  </si>
  <si>
    <t xml:space="preserve">N/A</t>
  </si>
  <si>
    <t xml:space="preserve">Confirmed no variance at this time</t>
  </si>
  <si>
    <t xml:space="preserve">Mack Brothers</t>
  </si>
  <si>
    <t xml:space="preserve">Confirmed by Dale Mack, Co-Owner</t>
  </si>
  <si>
    <t xml:space="preserve">Impact Precision</t>
  </si>
  <si>
    <t xml:space="preserve">⏳ TBD</t>
  </si>
  <si>
    <t xml:space="preserve">Follow up mid-July 2026</t>
  </si>
  <si>
    <t xml:space="preserve">BADWRX — MY ACTION PICKS BY VENDOR</t>
  </si>
  <si>
    <t xml:space="preserve">Green = Low cost pick · Red = High end pick · Prices from verified source sheets · May 2026</t>
  </si>
  <si>
    <t xml:space="preserve">● GREEN = Low Cost Pick</t>
  </si>
  <si>
    <t xml:space="preserve">● RED = High End Pick</t>
  </si>
  <si>
    <t xml:space="preserve">No titanium option noted for some vendors</t>
  </si>
  <si>
    <t xml:space="preserve">DEFIANCE MACHINE — ✔ Formal variance program | Tier 1 &lt;50/yr | Tier 2 &gt;50/yr</t>
  </si>
  <si>
    <t xml:space="preserve">Low cost pick</t>
  </si>
  <si>
    <t xml:space="preserve">High end pick</t>
  </si>
  <si>
    <t xml:space="preserve">No titanium highlighted for Defiance</t>
  </si>
  <si>
    <t xml:space="preserve">ZERMATT ARMS — ✔ No variance fee | ⚠ 6-MONTH BACKORDER | Tier 1 = 1-20/yr | Tier 2 = 20+/yr</t>
  </si>
  <si>
    <t xml:space="preserve">Low cost pick — ⚠ 6-month backorder</t>
  </si>
  <si>
    <t xml:space="preserve">High end pick — ⚠ 6-month backorder</t>
  </si>
  <si>
    <t xml:space="preserve">No titanium highlighted for Zermatt (Ti3 not picked)</t>
  </si>
  <si>
    <t xml:space="preserve">KELBLY'S — ✔ No variance fee | 25/yr soft quota | Dist 30% at 25+/yr | Ships monthly batches</t>
  </si>
  <si>
    <t xml:space="preserve">No titanium offering at Kelbly</t>
  </si>
  <si>
    <t xml:space="preserve">STILLER'S — ✔ Variance $1,500 one-time | BADWRX = Dealer 1 (20-unit bracket)</t>
  </si>
  <si>
    <t xml:space="preserve">No specific actions highlighted by you in Stiller section</t>
  </si>
  <si>
    <t xml:space="preserve">LONE PEAK ARMS (now MDT) — ❌ No marking variance | Pricing as of 01/01/2023 — VERIFY</t>
  </si>
  <si>
    <t xml:space="preserve">Titanium pick</t>
  </si>
  <si>
    <t xml:space="preserve">⚠ No marking variance at this time — reassess after MDT acquisition settles</t>
  </si>
  <si>
    <t xml:space="preserve">KAUGER ARMS — ✔ Variance $200 one-time | 20% off | Lead time: DAYS | 2 sample actions incoming</t>
  </si>
  <si>
    <t xml:space="preserve">No titanium offering highlighted at Kauger</t>
  </si>
  <si>
    <t xml:space="preserve">MACK BROTHERS — ❌ No marking variance | Dealer pricing 2026</t>
  </si>
  <si>
    <t xml:space="preserve">High end pick — ⚠ VERIFY: dealer &gt; retail</t>
  </si>
  <si>
    <t xml:space="preserve">No titanium offering at Mack Brothers | ❌ No marking variance</t>
  </si>
  <si>
    <t xml:space="preserve">QUICK COMPARISON — YOUR PICKS SIDE BY SIDE</t>
  </si>
  <si>
    <t xml:space="preserve">Low Cost Pick</t>
  </si>
  <si>
    <t xml:space="preserve">Your Cost</t>
  </si>
  <si>
    <t xml:space="preserve">High End Pick</t>
  </si>
  <si>
    <t xml:space="preserve">Defiance</t>
  </si>
  <si>
    <t xml:space="preserve">$925 T1</t>
  </si>
  <si>
    <t xml:space="preserve">$1,395 T1</t>
  </si>
  <si>
    <t xml:space="preserve">✔ Formal program</t>
  </si>
  <si>
    <t xml:space="preserve">Zermatt</t>
  </si>
  <si>
    <t xml:space="preserve">Origin Long</t>
  </si>
  <si>
    <t xml:space="preserve">$915 T1</t>
  </si>
  <si>
    <t xml:space="preserve">TL3/SR3 Long</t>
  </si>
  <si>
    <t xml:space="preserve">$1,225 T1</t>
  </si>
  <si>
    <t xml:space="preserve">✔ Free — ⚠ Backorder</t>
  </si>
  <si>
    <t xml:space="preserve">Long Atlas Lite</t>
  </si>
  <si>
    <t xml:space="preserve">$934 D15%</t>
  </si>
  <si>
    <t xml:space="preserve">$1,318 D15%</t>
  </si>
  <si>
    <t xml:space="preserve">✔ Free at 25/yr</t>
  </si>
  <si>
    <t xml:space="preserve">(no pick)</t>
  </si>
  <si>
    <t xml:space="preserve">—</t>
  </si>
  <si>
    <t xml:space="preserve">✔ $1,500 setup</t>
  </si>
  <si>
    <t xml:space="preserve">Lone Peak</t>
  </si>
  <si>
    <t xml:space="preserve">$1,450 T1</t>
  </si>
  <si>
    <t xml:space="preserve">❌ No variance</t>
  </si>
  <si>
    <t xml:space="preserve">Kauger</t>
  </si>
  <si>
    <t xml:space="preserve">VPR SST Long</t>
  </si>
  <si>
    <t xml:space="preserve">$724</t>
  </si>
  <si>
    <t xml:space="preserve">Elite Long Action</t>
  </si>
  <si>
    <t xml:space="preserve">$1,056</t>
  </si>
  <si>
    <t xml:space="preserve">✔ $200 setup</t>
  </si>
  <si>
    <t xml:space="preserve">$999 ⚠</t>
  </si>
  <si>
    <t xml:space="preserve">BADWRX — BUILD JOB COSTING TRACKER (Actual Prices Paid)</t>
  </si>
  <si>
    <t xml:space="preserve">Actual costs from receipts — shipping and tax included in each part cost · Enter Invoice Price in W to see profit</t>
  </si>
  <si>
    <t xml:space="preserve">KEY:</t>
  </si>
  <si>
    <t xml:space="preserve">Blue = Part cost (incl. ship+tax)</t>
  </si>
  <si>
    <t xml:space="preserve">Black = Formula</t>
  </si>
  <si>
    <t xml:space="preserve">BUILD INFO</t>
  </si>
  <si>
    <t xml:space="preserve">DATES</t>
  </si>
  <si>
    <t xml:space="preserve">CONFIG</t>
  </si>
  <si>
    <t xml:space="preserve">PARTS COST — shipping &amp; tax included in each amount</t>
  </si>
  <si>
    <t xml:space="preserve">FINANCIALS</t>
  </si>
  <si>
    <t xml:space="preserve">QB / ADMIN</t>
  </si>
  <si>
    <t xml:space="preserve">#</t>
  </si>
  <si>
    <t xml:space="preserve">Customer</t>
  </si>
  <si>
    <t xml:space="preserve">Order
Date</t>
  </si>
  <si>
    <t xml:space="preserve">Ship
Date</t>
  </si>
  <si>
    <t xml:space="preserve">Rifle Model</t>
  </si>
  <si>
    <t xml:space="preserve">Caliber</t>
  </si>
  <si>
    <t xml:space="preserve">Action
Vendor</t>
  </si>
  <si>
    <t xml:space="preserve">Barrel</t>
  </si>
  <si>
    <t xml:space="preserve">Stock /
Chassis</t>
  </si>
  <si>
    <t xml:space="preserve">Trigger</t>
  </si>
  <si>
    <t xml:space="preserve">Muzzle
Brake</t>
  </si>
  <si>
    <t xml:space="preserve">Optic</t>
  </si>
  <si>
    <t xml:space="preserve">Rings</t>
  </si>
  <si>
    <t xml:space="preserve">Bipod</t>
  </si>
  <si>
    <t xml:space="preserve">Bottom
Metal</t>
  </si>
  <si>
    <t xml:space="preserve">Magazine</t>
  </si>
  <si>
    <t xml:space="preserve">Pic Rail</t>
  </si>
  <si>
    <t xml:space="preserve">Paint /
Cerakote</t>
  </si>
  <si>
    <t xml:space="preserve">Case</t>
  </si>
  <si>
    <t xml:space="preserve">Labor /
Assembly</t>
  </si>
  <si>
    <t xml:space="preserve">Total COGS</t>
  </si>
  <si>
    <t xml:space="preserve">Invoice
Price</t>
  </si>
  <si>
    <t xml:space="preserve">Gross
Profit</t>
  </si>
  <si>
    <t xml:space="preserve">Margin</t>
  </si>
  <si>
    <t xml:space="preserve">Square
Inv#</t>
  </si>
  <si>
    <t xml:space="preserve">Status</t>
  </si>
  <si>
    <t xml:space="preserve">JIM KOECHER</t>
  </si>
  <si>
    <t xml:space="preserve">12/02/2025</t>
  </si>
  <si>
    <t xml:space="preserve">06/04/2026</t>
  </si>
  <si>
    <t xml:space="preserve">BADWRX Specter</t>
  </si>
  <si>
    <t xml:space="preserve">7 PRC</t>
  </si>
  <si>
    <t xml:space="preserve">Parts Ordered</t>
  </si>
  <si>
    <t xml:space="preserve">HNT26 | No case | SRS Chub | Proof barrel | Ship+tax incl in each part</t>
  </si>
  <si>
    <t xml:space="preserve">BRADLEY SINOR</t>
  </si>
  <si>
    <t xml:space="preserve">02/18/2026</t>
  </si>
  <si>
    <t xml:space="preserve">BADWRX Invictus</t>
  </si>
  <si>
    <t xml:space="preserve">Manners PHA | Hawkins M5 DBM+Mag | SRS Chub | Proof barrel</t>
  </si>
  <si>
    <t xml:space="preserve">MARK LAPORTE</t>
  </si>
  <si>
    <t xml:space="preserve">BADWRX Reaper Folder</t>
  </si>
  <si>
    <t xml:space="preserve">Manners PPFA Folder | Hawkins M5 DBM+Mag | Hawkins Tank | Carbon Six barrel | NX8 MIL XT</t>
  </si>
  <si>
    <t xml:space="preserve">JOE WALSH</t>
  </si>
  <si>
    <t xml:space="preserve">HNT26 | MDT Mag+Rail | Hawkins Tank | Carbon Six barrel | No scope/rings</t>
  </si>
  <si>
    <t xml:space="preserve">BRENDON DREW</t>
  </si>
  <si>
    <t xml:space="preserve">05/15/2026</t>
  </si>
  <si>
    <t xml:space="preserve">LaPorte spec | No scope | No rings | With case</t>
  </si>
  <si>
    <t xml:space="preserve">CONNOR WILLIAMS</t>
  </si>
  <si>
    <t xml:space="preserve">LaPorte spec | No scope | No rings | No case</t>
  </si>
  <si>
    <t xml:space="preserve">TOTALS</t>
  </si>
  <si>
    <t xml:space="preserve">PRICING ANALYSIS — COGS vs MSRP+FEE vs 35% MARKUP vs YOUR ACTUAL</t>
  </si>
  <si>
    <t xml:space="preserve">Total COGS
(Actual Paid)</t>
  </si>
  <si>
    <t xml:space="preserve">Parts at
MSRP</t>
  </si>
  <si>
    <t xml:space="preserve">MSRP +
$1,000 Fee</t>
  </si>
  <si>
    <t xml:space="preserve">GP
(MSRP+Fee)</t>
  </si>
  <si>
    <t xml:space="preserve">Margin
(MSRP+Fee)</t>
  </si>
  <si>
    <t xml:space="preserve">35% Margin
Price</t>
  </si>
  <si>
    <t xml:space="preserve">GP
(35%)</t>
  </si>
  <si>
    <t xml:space="preserve">Margin
(35%)</t>
  </si>
  <si>
    <t xml:space="preserve">Your Actual
Invoice</t>
  </si>
  <si>
    <t xml:space="preserve">Your Actual
GP</t>
  </si>
  <si>
    <t xml:space="preserve">Your Actual
Margin</t>
  </si>
  <si>
    <t xml:space="preserve">Green = Suggested price | Orange = Parts at MSRP | Blue = Your actual | Proof barrel MSRP $1,149 | Manners +15% on cost | Kelbly's Atlas MSRP $1,099 | 35% Margin = COGS ÷ 0.65</t>
  </si>
  <si>
    <t xml:space="preserve">BADWRX — DEALER COST BUILD TRACKER (Forward-Looking Dealer Pricing)</t>
  </si>
  <si>
    <t xml:space="preserve">Current dealer pricing · Shipping/tax same as actual builds · Enter Invoice Price in AW</t>
  </si>
  <si>
    <t xml:space="preserve">Blue=Part</t>
  </si>
  <si>
    <t xml:space="preserve">Amber=Ship</t>
  </si>
  <si>
    <t xml:space="preserve">Purple=Tax</t>
  </si>
  <si>
    <t xml:space="preserve">Black=Formula</t>
  </si>
  <si>
    <t xml:space="preserve">ACTION</t>
  </si>
  <si>
    <t xml:space="preserve">BARREL</t>
  </si>
  <si>
    <t xml:space="preserve">STOCK/CHASSIS</t>
  </si>
  <si>
    <t xml:space="preserve">TRIGGER</t>
  </si>
  <si>
    <t xml:space="preserve">BRAKE</t>
  </si>
  <si>
    <t xml:space="preserve">OPTIC</t>
  </si>
  <si>
    <t xml:space="preserve">RINGS</t>
  </si>
  <si>
    <t xml:space="preserve">BIPOD</t>
  </si>
  <si>
    <t xml:space="preserve">BTM METAL</t>
  </si>
  <si>
    <t xml:space="preserve">MAGAZINE</t>
  </si>
  <si>
    <t xml:space="preserve">PIC RAIL</t>
  </si>
  <si>
    <t xml:space="preserve">PAINT</t>
  </si>
  <si>
    <t xml:space="preserve">CASE</t>
  </si>
  <si>
    <t xml:space="preserve">LABOR</t>
  </si>
  <si>
    <t xml:space="preserve">Ship</t>
  </si>
  <si>
    <t xml:space="preserve">Tax</t>
  </si>
  <si>
    <t xml:space="preserve">Stock/
Chassis</t>
  </si>
  <si>
    <t xml:space="preserve">Brake</t>
  </si>
  <si>
    <t xml:space="preserve">Btm
Metal</t>
  </si>
  <si>
    <t xml:space="preserve">Mag</t>
  </si>
  <si>
    <t xml:space="preserve">Pic
Rail</t>
  </si>
  <si>
    <t xml:space="preserve">Paint</t>
  </si>
  <si>
    <t xml:space="preserve">Labor</t>
  </si>
  <si>
    <t xml:space="preserve">COGS
(Parts Only)</t>
  </si>
  <si>
    <t xml:space="preserve">COGS
(incl. Ship+Tax)</t>
  </si>
  <si>
    <t xml:space="preserve">QB Inv#</t>
  </si>
  <si>
    <t xml:space="preserve">Dealer Cost Reference</t>
  </si>
  <si>
    <t xml:space="preserve">HNT26 | No case | SRS Chub dealer | Tremor 5 no MIL price</t>
  </si>
  <si>
    <t xml:space="preserve">Manners PHA | Hawkins DBM+Mag dealer | SRS Chub dealer</t>
  </si>
  <si>
    <t xml:space="preserve">Manners PPFA Folder | Hawkins DBM+Mag dealer | Hawkins Tank | Carbon Six | NX8 MIL XT</t>
  </si>
  <si>
    <t xml:space="preserve">HNT26 | MDT Mag+Rail dealer | Hawkins Tank | Carbon Six | No scope/rings</t>
  </si>
  <si>
    <t xml:space="preserve">↳ Total Shipping</t>
  </si>
  <si>
    <t xml:space="preserve">↳ Shipping</t>
  </si>
  <si>
    <t xml:space="preserve">↳ Total Tax</t>
  </si>
  <si>
    <t xml:space="preserve">↳ Tax</t>
  </si>
  <si>
    <t xml:space="preserve">BADWRX — LEFTOVER INVENTORY (Unallocated Parts)</t>
  </si>
  <si>
    <t xml:space="preserve">Parts purchased across all receipts that have not been allocated to a customer build · Update Status column as parts are used</t>
  </si>
  <si>
    <t xml:space="preserve">Item / Description</t>
  </si>
  <si>
    <t xml:space="preserve">Qty
On Hand</t>
  </si>
  <si>
    <t xml:space="preserve">Unit Cost
(Paid)</t>
  </si>
  <si>
    <t xml:space="preserve">Total Value</t>
  </si>
  <si>
    <t xml:space="preserve">Allocated To</t>
  </si>
  <si>
    <t xml:space="preserve">Hawkins ULT Scope Rings 30mm/34mm/35mm w/ Level Cap</t>
  </si>
  <si>
    <t xml:space="preserve">Hawkins / Red Hawk</t>
  </si>
  <si>
    <t xml:space="preserve">In Stock</t>
  </si>
  <si>
    <t xml:space="preserve">Walsh has no rings — available for next build</t>
  </si>
  <si>
    <t xml:space="preserve">Carbon Six Prefit Barrel 6.5 PRC Sendero 20" Defiance AnTi X 5/8-24</t>
  </si>
  <si>
    <t xml:space="preserve">Carbon Six</t>
  </si>
  <si>
    <t xml:space="preserve">Deposit Paid — Awaiting Delivery</t>
  </si>
  <si>
    <t xml:space="preserve">6.5 PRC barrel — deposit paid on WC-21557. Balance due on delivery.</t>
  </si>
  <si>
    <t xml:space="preserve">Manners Pro Hunter PHA + BMC Vias Paint</t>
  </si>
  <si>
    <t xml:space="preserve">Manners/CGC</t>
  </si>
  <si>
    <t xml:space="preserve">PHA dealer $1,083.71 + CGC Vias paint $290.00</t>
  </si>
  <si>
    <t xml:space="preserve">Impact Precision 737R Short Action</t>
  </si>
  <si>
    <t xml:space="preserve">Pending Dealer Approval (July 2026)</t>
  </si>
  <si>
    <t xml:space="preserve">Tier 1 dealer price</t>
  </si>
  <si>
    <t xml:space="preserve">Proof Research Steel Pre-Fit Barrel 6 ARC Impact Prefit</t>
  </si>
  <si>
    <t xml:space="preserve">Proof Research</t>
  </si>
  <si>
    <t xml:space="preserve">On Order</t>
  </si>
  <si>
    <t xml:space="preserve">Estimated dealer price — verify with Proof</t>
  </si>
  <si>
    <t xml:space="preserve">BUILD — DREW — Defiance Ruckus LA Action</t>
  </si>
  <si>
    <t xml:space="preserve">Brendon Drew</t>
  </si>
  <si>
    <t xml:space="preserve">LaPorte spec / no scope / no rings</t>
  </si>
  <si>
    <t xml:space="preserve">BUILD — DREW — Carbon Six 6.5 PRC Barrel</t>
  </si>
  <si>
    <t xml:space="preserve">BUILD — DREW — Manners PPFA + Paint</t>
  </si>
  <si>
    <t xml:space="preserve">Stock + paint combined</t>
  </si>
  <si>
    <t xml:space="preserve">BUILD — DREW — TriggerTech Rem 700 Special</t>
  </si>
  <si>
    <t xml:space="preserve">TriggerTech</t>
  </si>
  <si>
    <t xml:space="preserve">BUILD — DREW — Hawkins Tank Muzzle Brake</t>
  </si>
  <si>
    <t xml:space="preserve">Hawkins</t>
  </si>
  <si>
    <t xml:space="preserve">BUILD — DREW — MDT Backcountry Bipod</t>
  </si>
  <si>
    <t xml:space="preserve">MDT</t>
  </si>
  <si>
    <t xml:space="preserve">BUILD — DREW — Hawkins Hunter DBM Bottom Metal</t>
  </si>
  <si>
    <t xml:space="preserve">BUILD — DREW — Hawkins Hunter Magazine LA</t>
  </si>
  <si>
    <t xml:space="preserve">BUILD — DREW — TSA Pelican Case 3i-5014-6</t>
  </si>
  <si>
    <t xml:space="preserve">TSA</t>
  </si>
  <si>
    <t xml:space="preserve">BUILD — CONNOR — Defiance Ruckus LA Action</t>
  </si>
  <si>
    <t xml:space="preserve">Connor Williams</t>
  </si>
  <si>
    <t xml:space="preserve">LaPorte spec / no scope / rings / case</t>
  </si>
  <si>
    <t xml:space="preserve">BUILD — CONNOR — Carbon Six 6.5 PRC Barrel</t>
  </si>
  <si>
    <t xml:space="preserve">BUILD — CONNOR — Manners PPFA + Paint</t>
  </si>
  <si>
    <t xml:space="preserve">BUILD — CONNOR — TriggerTech Rem 700 Special</t>
  </si>
  <si>
    <t xml:space="preserve">BUILD — CONNOR — Hawkins Tank Muzzle Brake</t>
  </si>
  <si>
    <t xml:space="preserve">BUILD — CONNOR — MDT Backcountry Bipod</t>
  </si>
  <si>
    <t xml:space="preserve">BUILD — CONNOR — Hawkins Hunter DBM Bottom Metal</t>
  </si>
  <si>
    <t xml:space="preserve">BUILD — CONNOR — Hawkins Hunter Magazine LA</t>
  </si>
  <si>
    <t xml:space="preserve">No case</t>
  </si>
  <si>
    <t xml:space="preserve">TOTAL INVENTORY VALUE</t>
  </si>
  <si>
    <t xml:space="preserve">BUILD SUMMARIES — PAID IN FULL</t>
  </si>
  <si>
    <t xml:space="preserve">BRENDON DREW — LaPorte spec / No scope / No rings / With case</t>
  </si>
  <si>
    <t xml:space="preserve">Invoice →</t>
  </si>
  <si>
    <t xml:space="preserve">← GP</t>
  </si>
  <si>
    <t xml:space="preserve">CONNOR WILLIAMS — LaPorte spec / No scope / No rings / No case</t>
  </si>
  <si>
    <t xml:space="preserve">KELBLY'S</t>
  </si>
  <si>
    <t xml:space="preserve">NO MOQ</t>
  </si>
  <si>
    <t xml:space="preserve">kelblys.com — 75°/90° throw available on most actions; pricing same for both</t>
  </si>
  <si>
    <t xml:space="preserve">Less than 10 Life</t>
  </si>
  <si>
    <t xml:space="preserve">11+ Life</t>
  </si>
  <si>
    <t xml:space="preserve">25+ Life</t>
  </si>
  <si>
    <t xml:space="preserve">ACTIONS</t>
  </si>
  <si>
    <t xml:space="preserve">Dealer 15% (Less than 10)</t>
  </si>
  <si>
    <t xml:space="preserve">Distributor 25% (10+ lifetime)</t>
  </si>
  <si>
    <t xml:space="preserve">Distributor 30% (25+ Lifetime)</t>
  </si>
  <si>
    <t xml:space="preserve">Atlas (75°/90° Throw)</t>
  </si>
  <si>
    <t xml:space="preserve">Sanded</t>
  </si>
  <si>
    <t xml:space="preserve">Long Atlas (75°/90° Throw)</t>
  </si>
  <si>
    <t xml:space="preserve">Atlas Lite (75°/90° Throw)</t>
  </si>
  <si>
    <t xml:space="preserve">Long Atlas Lite (75°/90° Throw)</t>
  </si>
  <si>
    <t xml:space="preserve">Long Atlas Lite 338 (75°/90° Throw)</t>
  </si>
  <si>
    <t xml:space="preserve">Atlas Tactical (75°/90° Throw)</t>
  </si>
  <si>
    <t xml:space="preserve">Long Atlas Tactical (75°/90° Throw)</t>
  </si>
  <si>
    <t xml:space="preserve">.338 Lapua Atlas Tactical (75°/90° Throw)</t>
  </si>
  <si>
    <t xml:space="preserve">Atlas Tactical w/ Trigger Pins (75°/90° Throw)</t>
  </si>
  <si>
    <t xml:space="preserve">Long Atlas Tactical w/ Trigger Pins (75°/90° Throw)</t>
  </si>
  <si>
    <t xml:space="preserve">Long Atlas 338 w/ Trigger Pins (75°/90° Throw)</t>
  </si>
  <si>
    <t xml:space="preserve">Atlas Muzzleloader (75°/90° Throw)</t>
  </si>
  <si>
    <t xml:space="preserve">Prometheus (75°/90° Throw)</t>
  </si>
  <si>
    <t xml:space="preserve">.223/.308/PPC bolt face</t>
  </si>
  <si>
    <t xml:space="preserve">.532 Magnum bolt face</t>
  </si>
  <si>
    <t xml:space="preserve">.338 bolt face</t>
  </si>
  <si>
    <t xml:space="preserve">Prometheus BR (75°/90° Throw)</t>
  </si>
  <si>
    <t xml:space="preserve">Long Prometheus (75°/90° Throw)</t>
  </si>
  <si>
    <t xml:space="preserve">Long Prometheus .338 (75°/90° Throw)</t>
  </si>
  <si>
    <t xml:space="preserve">Nanook (75°/90° Throw)</t>
  </si>
  <si>
    <t xml:space="preserve">Long Nanook (75°/90° Throw)</t>
  </si>
  <si>
    <t xml:space="preserve">Long Nanook .338 (75°/90° Throw)</t>
  </si>
  <si>
    <t xml:space="preserve">F-Class Panda with 20 MOA Picatinny</t>
  </si>
  <si>
    <t xml:space="preserve">BOLTS &amp; HANDLES</t>
  </si>
  <si>
    <t xml:space="preserve">Distributor 25%</t>
  </si>
  <si>
    <t xml:space="preserve">Distributor 30%</t>
  </si>
  <si>
    <t xml:space="preserve">Complete Bolt (75°/90° Throw)</t>
  </si>
  <si>
    <t xml:space="preserve">.750" Complete Bolt (75°/90° Throw)</t>
  </si>
  <si>
    <t xml:space="preserve">Ball Bolt Handle</t>
  </si>
  <si>
    <t xml:space="preserve">Teardrop Bolt Handle</t>
  </si>
  <si>
    <t xml:space="preserve">Tactical Bolt Handle</t>
  </si>
  <si>
    <t xml:space="preserve">INTERNAL PARTS</t>
  </si>
  <si>
    <t xml:space="preserve">Short Action Firing Pin Spring</t>
  </si>
  <si>
    <t xml:space="preserve">Long Action Firing Pin Spring</t>
  </si>
  <si>
    <t xml:space="preserve">Short Action Complete Firing Pin Unit .068" Tip</t>
  </si>
  <si>
    <t xml:space="preserve">Short Action Complete Firing Pin Unit .075" Tip</t>
  </si>
  <si>
    <t xml:space="preserve">Long Action Complete Firing Pin Unit .075" Tip</t>
  </si>
  <si>
    <t xml:space="preserve">Long Action .338 Complete Firing Pin Unit .075" Tip</t>
  </si>
  <si>
    <t xml:space="preserve">Sako Extractor</t>
  </si>
  <si>
    <t xml:space="preserve">Tilted TG Ejector — Right Hand</t>
  </si>
  <si>
    <t xml:space="preserve">Tilted TG Ejector — Left Hand</t>
  </si>
  <si>
    <t xml:space="preserve">Straight TG Ejector — Left or Right Hand</t>
  </si>
  <si>
    <t xml:space="preserve">Recoil Lug</t>
  </si>
  <si>
    <t xml:space="preserve">PICATINNY RAILS</t>
  </si>
  <si>
    <t xml:space="preserve">Atlas Short Action 0 MOA Picatinny</t>
  </si>
  <si>
    <t xml:space="preserve">Atlas Short Action 10 MOA Picatinny</t>
  </si>
  <si>
    <t xml:space="preserve">Atlas Short Action 20 MOA Picatinny</t>
  </si>
  <si>
    <t xml:space="preserve">Atlas Long Action 0 MOA Picatinny</t>
  </si>
  <si>
    <t xml:space="preserve">Atlas Long Action 10 MOA Picatinny</t>
  </si>
  <si>
    <t xml:space="preserve">Atlas Long Action 20 MOA Picatinny</t>
  </si>
  <si>
    <t xml:space="preserve">Atlas Long Action 30 MOA Picatinny</t>
  </si>
  <si>
    <t xml:space="preserve">Atlas Long Action 40 MOA Picatinny</t>
  </si>
  <si>
    <t xml:space="preserve">Atlas Long Action 60 MOA Picatinny</t>
  </si>
  <si>
    <t xml:space="preserve">Atlas Lite Short Action 20 MOA Picatinny</t>
  </si>
  <si>
    <t xml:space="preserve">Atlas Lite Long Action 20 MOA Picatinny</t>
  </si>
  <si>
    <t xml:space="preserve">DEFIANCE MACHINE</t>
  </si>
  <si>
    <t xml:space="preserve">Pricing Guide — Effective 01/01/2026</t>
  </si>
  <si>
    <t xml:space="preserve">Less than 50</t>
  </si>
  <si>
    <t xml:space="preserve">More than 50</t>
  </si>
  <si>
    <t xml:space="preserve">ACCESSORIES &amp; PARTS</t>
  </si>
  <si>
    <t xml:space="preserve">Extra Bolt</t>
  </si>
  <si>
    <t xml:space="preserve">Field Strippable Upgrade</t>
  </si>
  <si>
    <t xml:space="preserve">All Rails</t>
  </si>
  <si>
    <t xml:space="preserve">Action Wrench</t>
  </si>
  <si>
    <t xml:space="preserve">Nitride</t>
  </si>
  <si>
    <t xml:space="preserve">Partial Nitride</t>
  </si>
  <si>
    <t xml:space="preserve">ZERMATT ARMS</t>
  </si>
  <si>
    <t xml:space="preserve">Pricing — Per Calendar Year Basis</t>
  </si>
  <si>
    <t xml:space="preserve">1-20</t>
  </si>
  <si>
    <t xml:space="preserve">20+</t>
  </si>
  <si>
    <t xml:space="preserve">Volume Tiers</t>
  </si>
  <si>
    <t xml:space="preserve">1–20 / 20+</t>
  </si>
  <si>
    <t xml:space="preserve">1-4</t>
  </si>
  <si>
    <t xml:space="preserve">5-10</t>
  </si>
  <si>
    <t xml:space="preserve">11-25</t>
  </si>
  <si>
    <t xml:space="preserve">26+</t>
  </si>
  <si>
    <t xml:space="preserve">Ti3 ACTIONS</t>
  </si>
  <si>
    <t xml:space="preserve">Tier 3</t>
  </si>
  <si>
    <t xml:space="preserve">Tier 4</t>
  </si>
  <si>
    <t xml:space="preserve">Tiers: 1–4 / 5–10 / 11–25 / 26+</t>
  </si>
  <si>
    <t xml:space="preserve">STILLER'S</t>
  </si>
  <si>
    <t xml:space="preserve">BADWRX = Dealer 1 (20-unit bracket)</t>
  </si>
  <si>
    <t xml:space="preserve">Per email from Chris Taggart, VP of Sales — One-time $1,500 setup fee for marking variance</t>
  </si>
  <si>
    <t xml:space="preserve">SPORT ACTIONS</t>
  </si>
  <si>
    <t xml:space="preserve">BIG BORE</t>
  </si>
  <si>
    <t xml:space="preserve">COMPETITION</t>
  </si>
  <si>
    <t xml:space="preserve">ONE-TIME FEES</t>
  </si>
  <si>
    <t xml:space="preserve">Amount</t>
  </si>
  <si>
    <t xml:space="preserve">Marking Variance Setup Fee</t>
  </si>
  <si>
    <t xml:space="preserve">One-time charge per Stiller terms</t>
  </si>
  <si>
    <t xml:space="preserve">Preferred Barrels / 8-12 week wait</t>
  </si>
  <si>
    <t xml:space="preserve">10% Discount</t>
  </si>
  <si>
    <t xml:space="preserve">My Cost</t>
  </si>
  <si>
    <t xml:space="preserve">Carbon / Engraved</t>
  </si>
  <si>
    <t xml:space="preserve">Nickel Plated / 50/50 Carbon / Engraved</t>
  </si>
  <si>
    <t xml:space="preserve">Carbon / Engraved / Cerakote</t>
  </si>
  <si>
    <t xml:space="preserve">Nickel Plated / 50/50 Carbon / Engraved / Cerakote</t>
  </si>
  <si>
    <t xml:space="preserve">Cerakote (add-on)</t>
  </si>
  <si>
    <t xml:space="preserve">PROOF RESEARCH BARRELS</t>
  </si>
  <si>
    <t xml:space="preserve">30% DISCOUNT</t>
  </si>
  <si>
    <t xml:space="preserve">20 Barrels Opening orders</t>
  </si>
  <si>
    <t xml:space="preserve">Carbon barrels, $15K </t>
  </si>
  <si>
    <t xml:space="preserve">Defiance Ruckus Prefit</t>
  </si>
  <si>
    <t xml:space="preserve">CARBON SIX BARRELS</t>
  </si>
  <si>
    <t xml:space="preserve">Notes &amp; Requests:</t>
  </si>
  <si>
    <t xml:space="preserve">Description</t>
  </si>
  <si>
    <t xml:space="preserve">FFL/Gunsmith discount: $225 off each barrel</t>
  </si>
  <si>
    <t xml:space="preserve">7mm PRC Carbon Six Prefit Barrel — Sendero, 20", Defiance AnTi X, 5/8"x24, w/ install</t>
  </si>
  <si>
    <t xml:space="preserve">Only charging $25 installation fee.</t>
  </si>
  <si>
    <t xml:space="preserve">6.5 PRC Carbon Six Prefit Barrel — Sendero, 20", Defiance AnTi X, 5/8"x24, w/ install</t>
  </si>
  <si>
    <t xml:space="preserve">$325 total off</t>
  </si>
  <si>
    <t xml:space="preserve">FFL / Gunsmith Discount — $225 off barrel + install reduced to $25 (vs $125)</t>
  </si>
  <si>
    <t xml:space="preserve">Net per barrel after FFL discount: $975.00 (delivered &amp; installed). Ship-to: BADWRX LLC, Diamondhead MS. Carbon Six lead time per their standard.</t>
  </si>
  <si>
    <t xml:space="preserve">TRIGGERTECH</t>
  </si>
  <si>
    <t xml:space="preserve">15% DISCOUNT</t>
  </si>
  <si>
    <t xml:space="preserve">TRIGGERS</t>
  </si>
  <si>
    <t xml:space="preserve">Rem 700 Duty (Single-Stage)</t>
  </si>
  <si>
    <t xml:space="preserve">Rem 700 Primary (Single-Stage)</t>
  </si>
  <si>
    <t xml:space="preserve">Rem 700 Special (Single-Stage)</t>
  </si>
  <si>
    <t xml:space="preserve">Rem 700 Special (Two-Stage)</t>
  </si>
  <si>
    <t xml:space="preserve">Rem 700 Rough Diamond (Single-Stage)</t>
  </si>
  <si>
    <t xml:space="preserve">Rem 700 Diamond (Single-Stage)</t>
  </si>
  <si>
    <t xml:space="preserve">Rem 700 Diamond (Two-Stage)</t>
  </si>
  <si>
    <t xml:space="preserve">Tikka Special (Single-Stage)</t>
  </si>
  <si>
    <t xml:space="preserve">Tikka Diamond (Single-Stage)</t>
  </si>
  <si>
    <t xml:space="preserve">SALMON RIVER SOLUTIONS</t>
  </si>
  <si>
    <t xml:space="preserve">Code: iloveguns / salmonriversolutions.com</t>
  </si>
  <si>
    <t xml:space="preserve">RAILS</t>
  </si>
  <si>
    <t xml:space="preserve">Extra Fasteners</t>
  </si>
  <si>
    <t xml:space="preserve">EZ ARCA</t>
  </si>
  <si>
    <t xml:space="preserve">EZ Picatinny</t>
  </si>
  <si>
    <t xml:space="preserve">Ruger American Gen II ARCA</t>
  </si>
  <si>
    <t xml:space="preserve">Tikka T3x Bundle</t>
  </si>
  <si>
    <t xml:space="preserve">Hunters Rail Dual Studs B14</t>
  </si>
  <si>
    <t xml:space="preserve">Hunters Rail</t>
  </si>
  <si>
    <t xml:space="preserve">Tikka T3x Hunters Rail</t>
  </si>
  <si>
    <t xml:space="preserve">SRS ARCA/Pic</t>
  </si>
  <si>
    <t xml:space="preserve">SRS Mid Length ARCA/Pic</t>
  </si>
  <si>
    <t xml:space="preserve">The Trinity Rail</t>
  </si>
  <si>
    <t xml:space="preserve">SRS 4" ARCA</t>
  </si>
  <si>
    <t xml:space="preserve">SRS 4" ARCA w/ Sling Stud</t>
  </si>
  <si>
    <t xml:space="preserve">SRS 6" ARCA</t>
  </si>
  <si>
    <t xml:space="preserve">SRS 8" ARCA</t>
  </si>
  <si>
    <t xml:space="preserve">SRS ARCA Balance</t>
  </si>
  <si>
    <t xml:space="preserve">SRS Tikka T3x Scope Rail 20 MOA</t>
  </si>
  <si>
    <t xml:space="preserve">SRS ARCA Mini</t>
  </si>
  <si>
    <t xml:space="preserve">SRS Full Length ARCA</t>
  </si>
  <si>
    <t xml:space="preserve">SRS Tactical 10" ARCA</t>
  </si>
  <si>
    <t xml:space="preserve">SRS Tactical 4" ARCA</t>
  </si>
  <si>
    <t xml:space="preserve">SRS Mini Pic Rail</t>
  </si>
  <si>
    <t xml:space="preserve">SRS Universal Pic Rail</t>
  </si>
  <si>
    <t xml:space="preserve">RIFLE ACCESSORIES</t>
  </si>
  <si>
    <t xml:space="preserve">Tikka Bag Rider</t>
  </si>
  <si>
    <t xml:space="preserve">Savage 110 Scope Rings</t>
  </si>
  <si>
    <t xml:space="preserve">SRS Bolt Knobs</t>
  </si>
  <si>
    <t xml:space="preserve">Aero Solus Buttstock Weight</t>
  </si>
  <si>
    <t xml:space="preserve">Aero Solus Internal Fore-End Weight</t>
  </si>
  <si>
    <t xml:space="preserve">SRS M-LOK Fore-End Weights</t>
  </si>
  <si>
    <t xml:space="preserve">SRS Universal Thumb Shelf</t>
  </si>
  <si>
    <t xml:space="preserve">SRS Tac Table</t>
  </si>
  <si>
    <t xml:space="preserve">SRS Tac Table (Limited Drops)</t>
  </si>
  <si>
    <t xml:space="preserve">Extra Timing Nut (Stainless)</t>
  </si>
  <si>
    <t xml:space="preserve">Extra Timing Nut</t>
  </si>
  <si>
    <t xml:space="preserve">MUZZLE BRAKES</t>
  </si>
  <si>
    <t xml:space="preserve">SRS "The Chub" Muzzle Brake</t>
  </si>
  <si>
    <t xml:space="preserve">SRS "TI PRO 2" Muzzle Brake</t>
  </si>
  <si>
    <t xml:space="preserve">SUPPRESSOR ACCESSORIES</t>
  </si>
  <si>
    <t xml:space="preserve">5/8-24 Shim Set</t>
  </si>
  <si>
    <t xml:space="preserve">AB Raptor Muzzle Brake</t>
  </si>
  <si>
    <t xml:space="preserve">Aero Lahar-30 Suppressor Brake</t>
  </si>
  <si>
    <t xml:space="preserve">Dead Air Diligent Directional Suppressor Brake</t>
  </si>
  <si>
    <t xml:space="preserve">SilencerCo Scythe Omega 300 Brake</t>
  </si>
  <si>
    <t xml:space="preserve">Suppressor Brake O-Ring</t>
  </si>
  <si>
    <t xml:space="preserve">Directional Suppressor Brake</t>
  </si>
  <si>
    <t xml:space="preserve">CB Banish Suppressor Mount &amp; Spanner Bundle</t>
  </si>
  <si>
    <t xml:space="preserve">CB Banish Gold Mini</t>
  </si>
  <si>
    <t xml:space="preserve">CB Banish Spanner Wrench</t>
  </si>
  <si>
    <t xml:space="preserve">Hub to CB Banish</t>
  </si>
  <si>
    <t xml:space="preserve">SRS CB Banish Suppressor Brake</t>
  </si>
  <si>
    <t xml:space="preserve">TS CUSTOMS</t>
  </si>
  <si>
    <t xml:space="preserve">tscustomsrifles.com</t>
  </si>
  <si>
    <t xml:space="preserve">GHOST MUZZLE BRAKES</t>
  </si>
  <si>
    <t xml:space="preserve">Ghost Micro (Stainless Nitrided)</t>
  </si>
  <si>
    <t xml:space="preserve">Ghost Light Magnum (Stainless Nitrided)</t>
  </si>
  <si>
    <t xml:space="preserve">Ghost Small (Stainless Nitrided)</t>
  </si>
  <si>
    <t xml:space="preserve">Ghost Large (Stainless Nitrided)</t>
  </si>
  <si>
    <t xml:space="preserve">Ghost Large (Titanium DLC Coated)</t>
  </si>
  <si>
    <t xml:space="preserve">Ghost Match (Stainless Nitrided)</t>
  </si>
  <si>
    <t xml:space="preserve">PEAK 44</t>
  </si>
  <si>
    <t xml:space="preserve">20% DISCOUNT</t>
  </si>
  <si>
    <t xml:space="preserve">peakfortyfour.com — Stocks Only</t>
  </si>
  <si>
    <t xml:space="preserve">BASTION STOCKS</t>
  </si>
  <si>
    <t xml:space="preserve">Bastion Rem 700 Universal Stock</t>
  </si>
  <si>
    <t xml:space="preserve">Bastion Vanguard/Howa 1500 Stock</t>
  </si>
  <si>
    <t xml:space="preserve">Bastion Mark V Stock</t>
  </si>
  <si>
    <t xml:space="preserve">Bastion Model 307 Stock</t>
  </si>
  <si>
    <t xml:space="preserve">Bastion Tikka Stock</t>
  </si>
  <si>
    <t xml:space="preserve">BLACKTOOTH STOCKS</t>
  </si>
  <si>
    <t xml:space="preserve">Blacktooth Rem 700 Universal Stock</t>
  </si>
  <si>
    <t xml:space="preserve">Blacktooth Vanguard/Howa 1500 Stock</t>
  </si>
  <si>
    <t xml:space="preserve">Blacktooth Mark V Stock</t>
  </si>
  <si>
    <t xml:space="preserve">Blacktooth Model 307 Stock</t>
  </si>
  <si>
    <t xml:space="preserve">Blacktooth Tikka Stock</t>
  </si>
  <si>
    <t xml:space="preserve">MDT HNT26 CHASSIS</t>
  </si>
  <si>
    <t xml:space="preserve">MDT HNT26 Chassis Stock (Rem 700)</t>
  </si>
  <si>
    <t xml:space="preserve">AG COMPOSITES</t>
  </si>
  <si>
    <t xml:space="preserve">20% OFF SITEWIDE — except fiberglass = $50 mil discount</t>
  </si>
  <si>
    <t xml:space="preserve">agcomposites.com — VETERAN-OWNED, Owens Cross Roads AL — 256-723-8381 | 3 prices confirmed from configurator; rest marked VERIFY</t>
  </si>
  <si>
    <t xml:space="preserve">CARBON FIBER STOCKS</t>
  </si>
  <si>
    <t xml:space="preserve">Discount</t>
  </si>
  <si>
    <t xml:space="preserve">AG Privateer (Carbon Fiber)</t>
  </si>
  <si>
    <t xml:space="preserve">20% off</t>
  </si>
  <si>
    <t xml:space="preserve">AG Sportsman (Carbon Fiber)</t>
  </si>
  <si>
    <t xml:space="preserve">AG Carbon All Terrain / CAT (Carbon Fiber)</t>
  </si>
  <si>
    <t xml:space="preserve">AG Visigoth (Carbon Fiber)</t>
  </si>
  <si>
    <t xml:space="preserve">AG Chalk Branch (Carbon Fiber)</t>
  </si>
  <si>
    <t xml:space="preserve">AG Alpine Hunter (Carbon Fiber)</t>
  </si>
  <si>
    <t xml:space="preserve">AG K2 (Carbon Fiber)</t>
  </si>
  <si>
    <t xml:space="preserve">AG Armor (Carbon Fiber)</t>
  </si>
  <si>
    <t xml:space="preserve">AG Ferrata (Carbon Fiber)</t>
  </si>
  <si>
    <t xml:space="preserve">AG Adjustable Armor (Carbon Fiber)</t>
  </si>
  <si>
    <t xml:space="preserve">AG Adjustable Chalk Branch (Carbon Fiber)</t>
  </si>
  <si>
    <t xml:space="preserve">AG Adjustable Hunter (Carbon Fiber)</t>
  </si>
  <si>
    <t xml:space="preserve">AG Adjustable K2 (Carbon Fiber)</t>
  </si>
  <si>
    <t xml:space="preserve">FIBERGLASS STOCKS</t>
  </si>
  <si>
    <t xml:space="preserve">AG Privateer (Fiberglass)</t>
  </si>
  <si>
    <t xml:space="preserve">−$50 mil</t>
  </si>
  <si>
    <t xml:space="preserve">AG Sportsman (Fiberglass)</t>
  </si>
  <si>
    <t xml:space="preserve">AG CAT (Fiberglass)</t>
  </si>
  <si>
    <t xml:space="preserve">AG Visigoth (Fiberglass)</t>
  </si>
  <si>
    <t xml:space="preserve">AG Alpine Hunter (Fiberglass)</t>
  </si>
  <si>
    <t xml:space="preserve">AG K2 (Fiberglass)</t>
  </si>
  <si>
    <t xml:space="preserve">AG Ferratta (Fiberglass)</t>
  </si>
  <si>
    <t xml:space="preserve">AG Adjustable Armour (Fiberglass)</t>
  </si>
  <si>
    <t xml:space="preserve">AG Adjustable Chalk Branch(Fiberglass)</t>
  </si>
  <si>
    <t xml:space="preserve">AG Adjustable Hunter (Fiberglass)</t>
  </si>
  <si>
    <t xml:space="preserve">AG Adjustable K2(Fiberglass)</t>
  </si>
  <si>
    <t xml:space="preserve">BOTTOM METALS</t>
  </si>
  <si>
    <t xml:space="preserve">AG M5 Bottom Metal — Short Action</t>
  </si>
  <si>
    <t xml:space="preserve">AG M5 Bottom Metal — Long Action</t>
  </si>
  <si>
    <t xml:space="preserve">AG M5 Bottom Metal — Long Action CIP</t>
  </si>
  <si>
    <t xml:space="preserve">AG BDL Bottom Metal — Short Action (no mag/spring)</t>
  </si>
  <si>
    <t xml:space="preserve">AG BDL Bottom Metal — Long Action (no mag/spring)</t>
  </si>
  <si>
    <t xml:space="preserve">RAILS &amp; ACCESSORIES</t>
  </si>
  <si>
    <t xml:space="preserve">AG Picatinny Rail with Flush Cup 3.25"</t>
  </si>
  <si>
    <t xml:space="preserve">AG ARCA Rail 4"</t>
  </si>
  <si>
    <t xml:space="preserve">AG ARCA Rail 6"</t>
  </si>
  <si>
    <t xml:space="preserve">AG ARCA Rail 8"</t>
  </si>
  <si>
    <t xml:space="preserve">Tri-Pod Mount Installed</t>
  </si>
  <si>
    <t xml:space="preserve">MDT (Modular Driven Technologies)</t>
  </si>
  <si>
    <t xml:space="preserve">CODE: LEMIL911378368</t>
  </si>
  <si>
    <t xml:space="preserve">mdttac.com — 10% off</t>
  </si>
  <si>
    <t xml:space="preserve">ACC Elite Chassis System</t>
  </si>
  <si>
    <t xml:space="preserve">ACC Premier GEN2 Chassis System</t>
  </si>
  <si>
    <t xml:space="preserve">HNT26 Chassis System</t>
  </si>
  <si>
    <t xml:space="preserve">CRBN Elite Rifle Stock</t>
  </si>
  <si>
    <t xml:space="preserve">BIPODS</t>
  </si>
  <si>
    <t xml:space="preserve">GRND-POD Bipod</t>
  </si>
  <si>
    <t xml:space="preserve">ORYX Bipod</t>
  </si>
  <si>
    <t xml:space="preserve">Backcountry Bipod</t>
  </si>
  <si>
    <t xml:space="preserve">Mountain Bipod</t>
  </si>
  <si>
    <t xml:space="preserve">CKYE-POD GEN3 Single Pull</t>
  </si>
  <si>
    <t xml:space="preserve">CKYE-POD GEN3 Double Pull</t>
  </si>
  <si>
    <t xml:space="preserve">CKYE-POD GEN3 Triple Pull</t>
  </si>
  <si>
    <t xml:space="preserve">CKYE-POD Lightweight Single Pull</t>
  </si>
  <si>
    <t xml:space="preserve">CKYE-POD Lightweight Double Pull</t>
  </si>
  <si>
    <t xml:space="preserve">POLYMER MAGAZINES</t>
  </si>
  <si>
    <t xml:space="preserve">.308/6.5CM Polymer AICS 10rd</t>
  </si>
  <si>
    <t xml:space="preserve">.308/6.5CM Polymer AICS 5rd</t>
  </si>
  <si>
    <t xml:space="preserve">.308/6.5CM Polymer AICS 3rd</t>
  </si>
  <si>
    <t xml:space="preserve">6mm ARC Polymer AICS 10rd</t>
  </si>
  <si>
    <t xml:space="preserve">6GT Polymer AICS 10rd</t>
  </si>
  <si>
    <t xml:space="preserve">7PRC CIP LA Polymer 3rd</t>
  </si>
  <si>
    <t xml:space="preserve">300WM CIP LA Polymer 3rd</t>
  </si>
  <si>
    <t xml:space="preserve">30-06 CIP LA Polymer 3rd</t>
  </si>
  <si>
    <t xml:space="preserve">350 LGD Polymer AICS 10rd</t>
  </si>
  <si>
    <t xml:space="preserve">METAL MAGAZINES</t>
  </si>
  <si>
    <t xml:space="preserve">.308/6.5CM Metal AICS 10rd</t>
  </si>
  <si>
    <t xml:space="preserve">.308/6.5CM Metal AICS 12rd</t>
  </si>
  <si>
    <t xml:space="preserve">.308/6.5CM Metal AICS 5rd</t>
  </si>
  <si>
    <t xml:space="preserve">6mm ARC Metal 10rd</t>
  </si>
  <si>
    <t xml:space="preserve">300WM Metal 5rd</t>
  </si>
  <si>
    <t xml:space="preserve">300PRC Metal CIP 5rd</t>
  </si>
  <si>
    <t xml:space="preserve">300WSM/6.5PRC Metal 3rd</t>
  </si>
  <si>
    <t xml:space="preserve">300WSM/6.5PRC Metal 7rd</t>
  </si>
  <si>
    <t xml:space="preserve">300WSM/6.5PRC Metal MED 10rd</t>
  </si>
  <si>
    <t xml:space="preserve">300WSM/6.5PRC Metal MED 5rd</t>
  </si>
  <si>
    <t xml:space="preserve">H-S PRECISION</t>
  </si>
  <si>
    <t xml:space="preserve">hsprecision.com</t>
  </si>
  <si>
    <t xml:space="preserve">Prices Effective January 1, 2026 — Dealer Pricing</t>
  </si>
  <si>
    <t xml:space="preserve">PRO-SERIES STOCKS</t>
  </si>
  <si>
    <t xml:space="preserve">Sporter / Varmint / Competition (standard)</t>
  </si>
  <si>
    <t xml:space="preserve">Tactical - Fixed LOP</t>
  </si>
  <si>
    <t xml:space="preserve">Sporter - Vertical Grip, Adj Cheek</t>
  </si>
  <si>
    <t xml:space="preserve">Tactical - Adj LOP Only</t>
  </si>
  <si>
    <t xml:space="preserve">Tactical - Adj LOP &amp; Cheek-Piece</t>
  </si>
  <si>
    <t xml:space="preserve">STOCK OPTIONS</t>
  </si>
  <si>
    <t xml:space="preserve">M5/AICS Inlet (new stock)</t>
  </si>
  <si>
    <t xml:space="preserve">M5/AICS Inlet (customer stock)</t>
  </si>
  <si>
    <t xml:space="preserve">Action Screws Set</t>
  </si>
  <si>
    <t xml:space="preserve">Non-Standard Webbing</t>
  </si>
  <si>
    <t xml:space="preserve">2-Color Camouflage</t>
  </si>
  <si>
    <t xml:space="preserve">3-Color Camouflage</t>
  </si>
  <si>
    <t xml:space="preserve">Complex Camo / Vertical Patterns</t>
  </si>
  <si>
    <t xml:space="preserve">LOP Increase/Decrease (1/4" increments)</t>
  </si>
  <si>
    <t xml:space="preserve">Pachmayr Decelerator Recoil Pad</t>
  </si>
  <si>
    <t xml:space="preserve">H-S 1" Standard Recoil Pad</t>
  </si>
  <si>
    <t xml:space="preserve">Mercury Recoil Reducer</t>
  </si>
  <si>
    <t xml:space="preserve">Repaint Standard Color</t>
  </si>
  <si>
    <t xml:space="preserve">Repaint 2-Color Camo</t>
  </si>
  <si>
    <t xml:space="preserve">Repaint 3-Color Camo</t>
  </si>
  <si>
    <t xml:space="preserve">Repaint Complex Camo</t>
  </si>
  <si>
    <t xml:space="preserve">Extra Forend Swivel Stud</t>
  </si>
  <si>
    <t xml:space="preserve">Picatinny Rail (Installed)</t>
  </si>
  <si>
    <t xml:space="preserve">RIFLE OPTIONS &amp; ACCESSORIES</t>
  </si>
  <si>
    <t xml:space="preserve">Harris S-BR Bipod (6"-9")</t>
  </si>
  <si>
    <t xml:space="preserve">H-Brake Non-Removable</t>
  </si>
  <si>
    <t xml:space="preserve">Cerakote Standard Color (Barreled Action)</t>
  </si>
  <si>
    <t xml:space="preserve">Cerakote Custom Color</t>
  </si>
  <si>
    <t xml:space="preserve">TECHNICAL SALES &amp; APPLICATIONS (TSA)</t>
  </si>
  <si>
    <t xml:space="preserve">Quote — 4/29/2026 — Contact: David Neal | dneal@tsafl.com | 407-365-2233</t>
  </si>
  <si>
    <t xml:space="preserve">Qty</t>
  </si>
  <si>
    <t xml:space="preserve">Unit Price</t>
  </si>
  <si>
    <t xml:space="preserve">Ext. Price</t>
  </si>
  <si>
    <t xml:space="preserve">Rifle Case 3i-5014-6-TSA3663 — Black, Standard hardware, foam incl.</t>
  </si>
  <si>
    <t xml:space="preserve">1-10</t>
  </si>
  <si>
    <t xml:space="preserve">Lead time 6-7 wks; FOB Origin; quote valid 30 days</t>
  </si>
  <si>
    <t xml:space="preserve">PER UNIT (qty 1-10 bracket)</t>
  </si>
  <si>
    <t xml:space="preserve">Pelican V800</t>
  </si>
  <si>
    <t xml:space="preserve">Additional: -A Set Up fee of $100.00 will be applied to each scheduled shipment.</t>
  </si>
  <si>
    <t xml:space="preserve">-Lead time 6-7 Weeks ARO. Lead time subject to change.</t>
  </si>
  <si>
    <t xml:space="preserve">-When ordering, order part number V800-TSA3663.</t>
  </si>
  <si>
    <t xml:space="preserve">CUSTOM GUN COATINGS</t>
  </si>
  <si>
    <t xml:space="preserve">Paint MDT HNT 26 Chassis — Multicam Black, Vias pattern</t>
  </si>
  <si>
    <t xml:space="preserve">Paint Stock Manners Pro Hunter Adjustable — Vias MC Black w/ logo + Carbon Prep</t>
  </si>
  <si>
    <t xml:space="preserve">AG Composites</t>
  </si>
  <si>
    <t xml:space="preserve">Peak 44</t>
  </si>
  <si>
    <t xml:space="preserve">Barrel Cerakote, black</t>
  </si>
  <si>
    <t xml:space="preserve">Shipping</t>
  </si>
  <si>
    <t xml:space="preserve">FIX IT STICKS</t>
  </si>
  <si>
    <t xml:space="preserve">MAP enforced — no Amazon/3rd party</t>
  </si>
  <si>
    <t xml:space="preserve">fixitsticks.com — 2026 Price List | Free freight on orders over $500</t>
  </si>
  <si>
    <t xml:space="preserve">TORQUE LIMITER KITS</t>
  </si>
  <si>
    <t xml:space="preserve">Part #</t>
  </si>
  <si>
    <t xml:space="preserve">Two-Limiter Rifle &amp; Optics Toolkits</t>
  </si>
  <si>
    <t xml:space="preserve">65 and 25 in-lbs Kit</t>
  </si>
  <si>
    <t xml:space="preserve">FISTLS5</t>
  </si>
  <si>
    <t xml:space="preserve">65 and 15 in-lbs Kit</t>
  </si>
  <si>
    <t xml:space="preserve">FISTLS6</t>
  </si>
  <si>
    <t xml:space="preserve">45 and 25 in-lbs Kit</t>
  </si>
  <si>
    <t xml:space="preserve">FISTLS7</t>
  </si>
  <si>
    <t xml:space="preserve">45 and 15 in-lbs Kit</t>
  </si>
  <si>
    <t xml:space="preserve">FISTLS8</t>
  </si>
  <si>
    <t xml:space="preserve">Three-Limiter Rifle &amp; Optics Toolkit</t>
  </si>
  <si>
    <t xml:space="preserve">65, 25, and 15 in-lbs Kit</t>
  </si>
  <si>
    <t xml:space="preserve">FISTLS19</t>
  </si>
  <si>
    <t xml:space="preserve">Four-Limiter Rifle &amp; Optics Toolkits</t>
  </si>
  <si>
    <t xml:space="preserve">65, 45, 25, 15 in-lbs Kit (with T-Way Wrench)</t>
  </si>
  <si>
    <t xml:space="preserve">FISTLS11-T</t>
  </si>
  <si>
    <t xml:space="preserve">65, 45, 25, 15 in-lbs Kit (T-Way Wrench, Nanuk Hard Case)</t>
  </si>
  <si>
    <t xml:space="preserve">FISTLS11-T-NHC</t>
  </si>
  <si>
    <t xml:space="preserve">65, 45, 25, 15 in-lbs Kit (with 3/16 Extended Bit)</t>
  </si>
  <si>
    <t xml:space="preserve">FISTLS11-T-EB316</t>
  </si>
  <si>
    <t xml:space="preserve">65, 45, 25, 15 in-lbs Kit (with Modular T-Drive)</t>
  </si>
  <si>
    <t xml:space="preserve">FISTLS11-MTD</t>
  </si>
  <si>
    <t xml:space="preserve">65, 45, 25, 15 in-lbs Kit (with Ratcheting T-Way)</t>
  </si>
  <si>
    <t xml:space="preserve">FISTLS11-RT</t>
  </si>
  <si>
    <t xml:space="preserve">BENCHTOP TOOL KITS</t>
  </si>
  <si>
    <t xml:space="preserve">Molded Polymer Base, 14 Torque Limiters, T-Handle (Shop use)</t>
  </si>
  <si>
    <t xml:space="preserve">BENK-FIS</t>
  </si>
  <si>
    <t xml:space="preserve">Bench Top Bit Pack</t>
  </si>
  <si>
    <t xml:space="preserve">BENK-BITS</t>
  </si>
  <si>
    <t xml:space="preserve">Molded Polymer Bench Kit Base</t>
  </si>
  <si>
    <t xml:space="preserve">BENK-TRAY</t>
  </si>
  <si>
    <t xml:space="preserve">Benchtop Tool Tray System (NEW 2026, ~3/1/26)</t>
  </si>
  <si>
    <t xml:space="preserve">FISTRSYS</t>
  </si>
  <si>
    <t xml:space="preserve">Tray Organizer (NEW 2026, ~5/1/26)</t>
  </si>
  <si>
    <t xml:space="preserve">Single Tray</t>
  </si>
  <si>
    <t xml:space="preserve">INDIVIDUAL TORQUE LIMITERS</t>
  </si>
  <si>
    <t xml:space="preserve">100 in-lbs Torque Limiter</t>
  </si>
  <si>
    <t xml:space="preserve">FISTL100</t>
  </si>
  <si>
    <t xml:space="preserve">90 in-lbs Torque Limiter</t>
  </si>
  <si>
    <t xml:space="preserve">FISTL90</t>
  </si>
  <si>
    <t xml:space="preserve">80 in-lbs Torque Limiter</t>
  </si>
  <si>
    <t xml:space="preserve">FISTL80</t>
  </si>
  <si>
    <t xml:space="preserve">70 in-lbs Torque Limiter</t>
  </si>
  <si>
    <t xml:space="preserve">FISTL70</t>
  </si>
  <si>
    <t xml:space="preserve">65 in-lbs Torque Limiter</t>
  </si>
  <si>
    <t xml:space="preserve">FISTL65</t>
  </si>
  <si>
    <t xml:space="preserve">62 in-lbs Torque Limiter</t>
  </si>
  <si>
    <t xml:space="preserve">FISTL62</t>
  </si>
  <si>
    <t xml:space="preserve">60 in-lbs Torque Limiter</t>
  </si>
  <si>
    <t xml:space="preserve">FISTL60</t>
  </si>
  <si>
    <t xml:space="preserve">55 in-lbs Torque Limiter</t>
  </si>
  <si>
    <t xml:space="preserve">FISTL55</t>
  </si>
  <si>
    <t xml:space="preserve">53 in-lbs Torque Limiter</t>
  </si>
  <si>
    <t xml:space="preserve">FISTL53</t>
  </si>
  <si>
    <t xml:space="preserve">49 in-lbs Torque Limiter</t>
  </si>
  <si>
    <t xml:space="preserve">FISTL49</t>
  </si>
  <si>
    <t xml:space="preserve">45 in-lbs Torque Limiter</t>
  </si>
  <si>
    <t xml:space="preserve">FISTL45</t>
  </si>
  <si>
    <t xml:space="preserve">40 in-lbs Torque Limiter</t>
  </si>
  <si>
    <t xml:space="preserve">FISTL40</t>
  </si>
  <si>
    <t xml:space="preserve">35 in-lbs Torque Limiter</t>
  </si>
  <si>
    <t xml:space="preserve">FISTL35</t>
  </si>
  <si>
    <t xml:space="preserve">30 in-lbs Torque Limiter</t>
  </si>
  <si>
    <t xml:space="preserve">FISTL30</t>
  </si>
  <si>
    <t xml:space="preserve">28 in-lbs Torque Limiter</t>
  </si>
  <si>
    <t xml:space="preserve">FISTL28</t>
  </si>
  <si>
    <t xml:space="preserve">25 in-lbs Torque Limiter</t>
  </si>
  <si>
    <t xml:space="preserve">FISTL25</t>
  </si>
  <si>
    <t xml:space="preserve">22 in-lbs Torque Limiter</t>
  </si>
  <si>
    <t xml:space="preserve">FISTL22</t>
  </si>
  <si>
    <t xml:space="preserve">20 in-lbs Torque Limiter</t>
  </si>
  <si>
    <t xml:space="preserve">FISTL20</t>
  </si>
  <si>
    <t xml:space="preserve">18 in-lbs Torque Limiter (Vortex Ring Screws)</t>
  </si>
  <si>
    <t xml:space="preserve">FISTL18</t>
  </si>
  <si>
    <t xml:space="preserve">16.5 in-lbs Torque Limiter</t>
  </si>
  <si>
    <t xml:space="preserve">FISTL16.5</t>
  </si>
  <si>
    <t xml:space="preserve">15 in-lbs Torque Limiter</t>
  </si>
  <si>
    <t xml:space="preserve">FISTL15</t>
  </si>
  <si>
    <t xml:space="preserve">12 in-lbs Torque Limiter</t>
  </si>
  <si>
    <t xml:space="preserve">FISTL12</t>
  </si>
  <si>
    <t xml:space="preserve">10 in-lbs Torque Limiter</t>
  </si>
  <si>
    <t xml:space="preserve">FISTL10</t>
  </si>
  <si>
    <t xml:space="preserve">8 in-lbs Torque Limiter</t>
  </si>
  <si>
    <t xml:space="preserve">FISTL8</t>
  </si>
  <si>
    <t xml:space="preserve">6 in-lbs Torque Limiter</t>
  </si>
  <si>
    <t xml:space="preserve">FISTL6</t>
  </si>
  <si>
    <t xml:space="preserve">4 in-lbs Torque Limiter + 3 Bits (Nightforce Turret Screws)</t>
  </si>
  <si>
    <t xml:space="preserve">FISTL4-BP</t>
  </si>
  <si>
    <t xml:space="preserve">4 in-lbs Torque Limiter</t>
  </si>
  <si>
    <t xml:space="preserve">FISTL4</t>
  </si>
  <si>
    <t xml:space="preserve">2 Nm Torque Limiter</t>
  </si>
  <si>
    <t xml:space="preserve">FISTLNM2</t>
  </si>
  <si>
    <t xml:space="preserve">3 Nm Torque Limiter</t>
  </si>
  <si>
    <t xml:space="preserve">FISTLNM3</t>
  </si>
  <si>
    <t xml:space="preserve">4 Nm Torque Limiter</t>
  </si>
  <si>
    <t xml:space="preserve">FISTLNM4</t>
  </si>
  <si>
    <t xml:space="preserve">5 Nm Torque Limiter</t>
  </si>
  <si>
    <t xml:space="preserve">FISTLNM5</t>
  </si>
  <si>
    <t xml:space="preserve">6 Nm Torque Limiter</t>
  </si>
  <si>
    <t xml:space="preserve">FISTLNM6</t>
  </si>
  <si>
    <t xml:space="preserve">ALL-IN-ONE TORQUE DRIVERS</t>
  </si>
  <si>
    <t xml:space="preserve">15-65 in-lb All-In-One Torque Driver</t>
  </si>
  <si>
    <t xml:space="preserve">FIS-VTD</t>
  </si>
  <si>
    <t xml:space="preserve">6-25 in-lb Mini All-In-One Torque Driver</t>
  </si>
  <si>
    <t xml:space="preserve">FIS-SVTD</t>
  </si>
  <si>
    <t xml:space="preserve">Rifle &amp; Optics Toolkit w/ All-In-One Torque Driver (15-65 in-lb)</t>
  </si>
  <si>
    <t xml:space="preserve">FISMUTK</t>
  </si>
  <si>
    <t xml:space="preserve">Rifle &amp; Optics Toolkit w/ All-In-One TD in Nanuk Hard Case</t>
  </si>
  <si>
    <t xml:space="preserve">FISMUTK-NHC</t>
  </si>
  <si>
    <t xml:space="preserve">AR15 / AR10 MAINTENANCE KITS</t>
  </si>
  <si>
    <t xml:space="preserve">AR15 Toolkit</t>
  </si>
  <si>
    <t xml:space="preserve">FIS-SC-SKAR15</t>
  </si>
  <si>
    <t xml:space="preserve">AR10 Toolkit</t>
  </si>
  <si>
    <t xml:space="preserve">FIS-SC-SKAR10</t>
  </si>
  <si>
    <t xml:space="preserve">AR Field Armorer's Toolkit</t>
  </si>
  <si>
    <t xml:space="preserve">FISARK-AIO</t>
  </si>
  <si>
    <t xml:space="preserve">AR15 / AR COMPONENTS</t>
  </si>
  <si>
    <t xml:space="preserve">AR15 Accessory Bit Pack (A2 FS, Castle Nut Wrench, BCG Scraper)</t>
  </si>
  <si>
    <t xml:space="preserve">FISAR15-ABP3</t>
  </si>
  <si>
    <t xml:space="preserve">Front Sight Bit (A2)</t>
  </si>
  <si>
    <t xml:space="preserve">FISCBAR15P</t>
  </si>
  <si>
    <t xml:space="preserve">Carrier Bolt Group Scraper Bit (.223)</t>
  </si>
  <si>
    <t xml:space="preserve">FISARBCGSP</t>
  </si>
  <si>
    <t xml:space="preserve">Carrier Bolt Group Scraper Bit (.308)</t>
  </si>
  <si>
    <t xml:space="preserve">FISARBCGSP-308</t>
  </si>
  <si>
    <t xml:space="preserve">Castle Nut Wrench Bit</t>
  </si>
  <si>
    <t xml:space="preserve">FISARCNWP</t>
  </si>
  <si>
    <t xml:space="preserve">Bronze Scraper</t>
  </si>
  <si>
    <t xml:space="preserve">FISGBSP</t>
  </si>
  <si>
    <t xml:space="preserve">3-Piece Cleaning Brush Set</t>
  </si>
  <si>
    <t xml:space="preserve">FISCB3P</t>
  </si>
  <si>
    <t xml:space="preserve">Steel Pick</t>
  </si>
  <si>
    <t xml:space="preserve">FISCPMP</t>
  </si>
  <si>
    <t xml:space="preserve">Cleaning Brush Bit</t>
  </si>
  <si>
    <t xml:space="preserve">FISARCBP</t>
  </si>
  <si>
    <t xml:space="preserve">AR Extractor &amp; Ejector Tool (.223)</t>
  </si>
  <si>
    <t xml:space="preserve">FISAR15BETP</t>
  </si>
  <si>
    <t xml:space="preserve">AR Extractor &amp; Ejector Tool (.308)</t>
  </si>
  <si>
    <t xml:space="preserve">FISAR10BETP</t>
  </si>
  <si>
    <t xml:space="preserve">AR Bolt Catch Pin Punch</t>
  </si>
  <si>
    <t xml:space="preserve">FISBCPPP</t>
  </si>
  <si>
    <t xml:space="preserve">AR Pivot Pin Tool (.223)</t>
  </si>
  <si>
    <t xml:space="preserve">FISAR15PPTP</t>
  </si>
  <si>
    <t xml:space="preserve">AR Pivot Pin Tool (.308)</t>
  </si>
  <si>
    <t xml:space="preserve">FISAR10PPTP</t>
  </si>
  <si>
    <t xml:space="preserve">COMBINATION KITS w/ TORQUE LIMITERS</t>
  </si>
  <si>
    <t xml:space="preserve">The Works (AR Field Maint + Torque Limiter + Accessory Bits)</t>
  </si>
  <si>
    <t xml:space="preserve">FIS-WORKS</t>
  </si>
  <si>
    <t xml:space="preserve">The Works w/ Modular T-Drive</t>
  </si>
  <si>
    <t xml:space="preserve">FIS-WORKS-MTD</t>
  </si>
  <si>
    <t xml:space="preserve">Works Hardcase w/ Individual Limiters (NEW 2026)</t>
  </si>
  <si>
    <t xml:space="preserve">FIS-WORKS-NHC</t>
  </si>
  <si>
    <t xml:space="preserve">Long Range Competition Toolkit w/ Torque Limiters</t>
  </si>
  <si>
    <t xml:space="preserve">FIS-PRKTL</t>
  </si>
  <si>
    <t xml:space="preserve">3 Gun Competition Toolkit w/ Torque Limiters</t>
  </si>
  <si>
    <t xml:space="preserve">FIS-3GTL</t>
  </si>
  <si>
    <t xml:space="preserve">Hunter's Kit w/ Hoppe's Bore Snake (.22)</t>
  </si>
  <si>
    <t xml:space="preserve">FIS-HUNTK-22</t>
  </si>
  <si>
    <t xml:space="preserve">Hunter's Kit w/ Hoppe's Bore Snake (.308)</t>
  </si>
  <si>
    <t xml:space="preserve">FIS-HUNTK-308</t>
  </si>
  <si>
    <t xml:space="preserve">Field Armorer's Toolkit w/ 5 Torque Limiters</t>
  </si>
  <si>
    <t xml:space="preserve">FISFAK-TL</t>
  </si>
  <si>
    <t xml:space="preserve">Pro Toolkit w/ 11 Torque Limiters</t>
  </si>
  <si>
    <t xml:space="preserve">FIS-PROK-TL</t>
  </si>
  <si>
    <t xml:space="preserve">COMBINATION KITS w/ AIO TORQUE DRIVER</t>
  </si>
  <si>
    <t xml:space="preserve">The Works (AR Field Maint + AIO Torque Driver + Accessory Bits)</t>
  </si>
  <si>
    <t xml:space="preserve">FIS-WORKS-VTD</t>
  </si>
  <si>
    <t xml:space="preserve">Works Hardcase w/ AIO Torque Driver (NEW 2026)</t>
  </si>
  <si>
    <t xml:space="preserve">FIS-WORKS-VTD-NHC</t>
  </si>
  <si>
    <t xml:space="preserve">Long Range Competition Toolkit w/ AIO Torque Driver</t>
  </si>
  <si>
    <t xml:space="preserve">FIS-PRKAIO</t>
  </si>
  <si>
    <t xml:space="preserve">3 Gun Competition Toolkit w/ AIO Torque Driver</t>
  </si>
  <si>
    <t xml:space="preserve">FIS-3GAIO</t>
  </si>
  <si>
    <t xml:space="preserve">MCX/MPX Toolkit for Sig Sauer®</t>
  </si>
  <si>
    <t xml:space="preserve">SIG-CK-2</t>
  </si>
  <si>
    <t xml:space="preserve">Model 700 Toolkit</t>
  </si>
  <si>
    <t xml:space="preserve">FIS-700TK</t>
  </si>
  <si>
    <t xml:space="preserve">Field Armorer's Toolkit w/ Small &amp; Large AIO Torque Drivers</t>
  </si>
  <si>
    <t xml:space="preserve">FISFAK-AIO</t>
  </si>
  <si>
    <t xml:space="preserve">Pro Toolkit w/ Small &amp; Large AIO Torque Drivers</t>
  </si>
  <si>
    <t xml:space="preserve">FIS-PROK-AIO</t>
  </si>
  <si>
    <t xml:space="preserve">PISTOL KITS</t>
  </si>
  <si>
    <t xml:space="preserve">Handgun and Optics Toolkit</t>
  </si>
  <si>
    <t xml:space="preserve">FISCPK</t>
  </si>
  <si>
    <t xml:space="preserve">Field Tool Kit for SIG Sauer</t>
  </si>
  <si>
    <t xml:space="preserve">FISCPK-SIG</t>
  </si>
  <si>
    <t xml:space="preserve">Field Toolkit for Glock®</t>
  </si>
  <si>
    <t xml:space="preserve">FISCPK-GL</t>
  </si>
  <si>
    <t xml:space="preserve">Pistol Armorer's Tool Kit</t>
  </si>
  <si>
    <t xml:space="preserve">FISPAK-AIO</t>
  </si>
  <si>
    <t xml:space="preserve">BORE OBSTRUCTION / CLEANING ROD KIT</t>
  </si>
  <si>
    <t xml:space="preserve">Bore Obstruction / Cleaning Rod Kit (Handle, Rods, Tips, Case)</t>
  </si>
  <si>
    <t xml:space="preserve">FIS-SRK</t>
  </si>
  <si>
    <t xml:space="preserve">6.5 Adapters &amp; Obstruction Tip Add-On</t>
  </si>
  <si>
    <t xml:space="preserve">FIS65A</t>
  </si>
  <si>
    <t xml:space="preserve">PISTOL/RIFLE/SHOTGUN ADD-ON BITS &amp; ACCESSORIES</t>
  </si>
  <si>
    <t xml:space="preserve">Field Pistol Sight Tool</t>
  </si>
  <si>
    <t xml:space="preserve">FISFSP</t>
  </si>
  <si>
    <t xml:space="preserve">Front Sight Tool for Glock®</t>
  </si>
  <si>
    <t xml:space="preserve">FISGL</t>
  </si>
  <si>
    <t xml:space="preserve">Accessory Pack For Glock®</t>
  </si>
  <si>
    <t xml:space="preserve">FIS-GL-CP</t>
  </si>
  <si>
    <t xml:space="preserve">Magazine Base Plate Removal Tool for Glock®</t>
  </si>
  <si>
    <t xml:space="preserve">FISGMPT</t>
  </si>
  <si>
    <t xml:space="preserve">Channel Liner Tools for Glock® (set)</t>
  </si>
  <si>
    <t xml:space="preserve">FISGCLT2P</t>
  </si>
  <si>
    <t xml:space="preserve">Coin Slot Battery Cap Tool</t>
  </si>
  <si>
    <t xml:space="preserve">FISCSBTP</t>
  </si>
  <si>
    <t xml:space="preserve">Battery Cap Tool</t>
  </si>
  <si>
    <t xml:space="preserve">FISSBCP</t>
  </si>
  <si>
    <t xml:space="preserve">Universal Choke Tube Bit</t>
  </si>
  <si>
    <t xml:space="preserve">FISSCWP</t>
  </si>
  <si>
    <t xml:space="preserve">Aimpoint Bit</t>
  </si>
  <si>
    <t xml:space="preserve">FISAPBP</t>
  </si>
  <si>
    <t xml:space="preserve">3/8" Adjustment Wrench Bit (LaRue-style lock nuts)</t>
  </si>
  <si>
    <t xml:space="preserve">FIS38AWP</t>
  </si>
  <si>
    <t xml:space="preserve">Set of 8/32 Threaded Adapter Bits</t>
  </si>
  <si>
    <t xml:space="preserve">FIS832TAS</t>
  </si>
  <si>
    <t xml:space="preserve">1911 Bushing Tool</t>
  </si>
  <si>
    <t xml:space="preserve">FIS1911P</t>
  </si>
  <si>
    <t xml:space="preserve">Quick Action Brush for Model 700s</t>
  </si>
  <si>
    <t xml:space="preserve">FISQABP</t>
  </si>
  <si>
    <t xml:space="preserve">Quick Action Brush Replacement Swabs (5-Pack)</t>
  </si>
  <si>
    <t xml:space="preserve">FISQAB-RS5P</t>
  </si>
  <si>
    <t xml:space="preserve">Remington® 700 Bolt Opener</t>
  </si>
  <si>
    <t xml:space="preserve">FIS-RBO</t>
  </si>
  <si>
    <t xml:space="preserve">FIX IT STICKS TOOLS</t>
  </si>
  <si>
    <t xml:space="preserve">Fix It Sticks Multi-tool</t>
  </si>
  <si>
    <t xml:space="preserve">FISRSH16</t>
  </si>
  <si>
    <t xml:space="preserve">Compact Ratcheting Multi-Tool</t>
  </si>
  <si>
    <t xml:space="preserve">FISLHBHP</t>
  </si>
  <si>
    <t xml:space="preserve">Compact Ratcheting Multi-Tool w/ Mini AIO TD &amp; Case</t>
  </si>
  <si>
    <t xml:space="preserve">FISLHBHC-SVTD</t>
  </si>
  <si>
    <t xml:space="preserve">Modular T-Drive</t>
  </si>
  <si>
    <t xml:space="preserve">FIS-MTD</t>
  </si>
  <si>
    <t xml:space="preserve">T-Way Wrench</t>
  </si>
  <si>
    <t xml:space="preserve">TWSH</t>
  </si>
  <si>
    <t xml:space="preserve">Ratcheting T-Way Wrench w/ Locking Hex Drive</t>
  </si>
  <si>
    <t xml:space="preserve">TWAY-LOCK</t>
  </si>
  <si>
    <t xml:space="preserve">Ratcheting T-Way Wrench</t>
  </si>
  <si>
    <t xml:space="preserve">TWAY-RATCH</t>
  </si>
  <si>
    <t xml:space="preserve">All Purpose Driver Toolkit</t>
  </si>
  <si>
    <t xml:space="preserve">FISAPK</t>
  </si>
  <si>
    <t xml:space="preserve">Armorer's Punch Toolkit (NEW 2026)</t>
  </si>
  <si>
    <t xml:space="preserve">FISHPK</t>
  </si>
  <si>
    <t xml:space="preserve">Armorer's Hammer (NEW 2026)</t>
  </si>
  <si>
    <t xml:space="preserve">FISHMRP</t>
  </si>
  <si>
    <t xml:space="preserve">ARCHERY KITS / TOOLS</t>
  </si>
  <si>
    <t xml:space="preserve">Fix It Sticks Archery Kit</t>
  </si>
  <si>
    <t xml:space="preserve">FISAKV2P</t>
  </si>
  <si>
    <t xml:space="preserve">Broadhead Wrench</t>
  </si>
  <si>
    <t xml:space="preserve">FISBHWP</t>
  </si>
  <si>
    <t xml:space="preserve">SCOPE LEVELING TOOLS</t>
  </si>
  <si>
    <t xml:space="preserve">Optics Bubble Level Set</t>
  </si>
  <si>
    <t xml:space="preserve">FISBLAB</t>
  </si>
  <si>
    <t xml:space="preserve">Scope Jack</t>
  </si>
  <si>
    <t xml:space="preserve">FIS-SJACK</t>
  </si>
  <si>
    <t xml:space="preserve">ADD-ON BIT KITS</t>
  </si>
  <si>
    <t xml:space="preserve">Shooting/Hunting 18-Bit Add-On Pack</t>
  </si>
  <si>
    <t xml:space="preserve">BITS-SA-18P</t>
  </si>
  <si>
    <t xml:space="preserve">Shooting/Hunting 6-Bit Add-On Pack</t>
  </si>
  <si>
    <t xml:space="preserve">BITS-SA2-6P</t>
  </si>
  <si>
    <t xml:space="preserve">6-piece Extended Action Bit Set</t>
  </si>
  <si>
    <t xml:space="preserve">FISEB6P</t>
  </si>
  <si>
    <t xml:space="preserve">Set of Six 2" Bits (Metric Hex)</t>
  </si>
  <si>
    <t xml:space="preserve">FIS2BSAP</t>
  </si>
  <si>
    <t xml:space="preserve">Set of Six 2" Bits (SAE Hex)</t>
  </si>
  <si>
    <t xml:space="preserve">FIS2BSBP</t>
  </si>
  <si>
    <t xml:space="preserve">Set of Six 2" Bits (Torx)</t>
  </si>
  <si>
    <t xml:space="preserve">FIS2BSCP</t>
  </si>
  <si>
    <t xml:space="preserve">Set of Six 2" Bits (Phillips &amp; Flat)</t>
  </si>
  <si>
    <t xml:space="preserve">FIS2BSDP</t>
  </si>
  <si>
    <t xml:space="preserve">4" Long 3/16" Ball End Hex Bit</t>
  </si>
  <si>
    <t xml:space="preserve">FISCB316B4</t>
  </si>
  <si>
    <t xml:space="preserve">4" Long 5/32" Ball End Hex Bit</t>
  </si>
  <si>
    <t xml:space="preserve">FISCB532B4</t>
  </si>
  <si>
    <t xml:space="preserve">4" Long 1/8" Ball End Hex Bit</t>
  </si>
  <si>
    <t xml:space="preserve">FISCB18B4</t>
  </si>
  <si>
    <t xml:space="preserve">4" Long 5/64" Ball End Hex Bit</t>
  </si>
  <si>
    <t xml:space="preserve">FISCB564B4</t>
  </si>
  <si>
    <t xml:space="preserve">4" Long Torx 30 Bit</t>
  </si>
  <si>
    <t xml:space="preserve">FISCBT304</t>
  </si>
  <si>
    <t xml:space="preserve">4" Long 5mm Hex Bit</t>
  </si>
  <si>
    <t xml:space="preserve">FISCB5HB4</t>
  </si>
  <si>
    <t xml:space="preserve">Bit Extension</t>
  </si>
  <si>
    <t xml:space="preserve">FISESBP</t>
  </si>
  <si>
    <t xml:space="preserve">22-pc Socket Set</t>
  </si>
  <si>
    <t xml:space="preserve">FISAPK-SS22P</t>
  </si>
  <si>
    <t xml:space="preserve">ACCESSORIES &amp; BITS</t>
  </si>
  <si>
    <t xml:space="preserve">Mini Pry Bar</t>
  </si>
  <si>
    <t xml:space="preserve">FISMWP</t>
  </si>
  <si>
    <t xml:space="preserve">Pull-Through Bore Cleaner Bit</t>
  </si>
  <si>
    <t xml:space="preserve">FISBSPP</t>
  </si>
  <si>
    <t xml:space="preserve">Pin Punch Set (6 Punches)</t>
  </si>
  <si>
    <t xml:space="preserve">FISPPS6</t>
  </si>
  <si>
    <t xml:space="preserve">Roll Pin Punch Set (6 Punches)</t>
  </si>
  <si>
    <t xml:space="preserve">FISRS6P</t>
  </si>
  <si>
    <t xml:space="preserve">Brass Pin Punch Set (6 Punches)</t>
  </si>
  <si>
    <t xml:space="preserve">FISPPSB6P</t>
  </si>
  <si>
    <t xml:space="preserve">Roll Pin Starter Punch Set (6 Punches)</t>
  </si>
  <si>
    <t xml:space="preserve">FISRPSS6P</t>
  </si>
  <si>
    <t xml:space="preserve">Brass Hammer Head</t>
  </si>
  <si>
    <t xml:space="preserve">FISHHBP</t>
  </si>
  <si>
    <t xml:space="preserve">Two-Stage Knife/Broadhead Sharpener Bit</t>
  </si>
  <si>
    <t xml:space="preserve">FISKSBP</t>
  </si>
  <si>
    <t xml:space="preserve">Bottle Opener</t>
  </si>
  <si>
    <t xml:space="preserve">FISBOP</t>
  </si>
  <si>
    <t xml:space="preserve">CASES &amp; ACCESSORIES</t>
  </si>
  <si>
    <t xml:space="preserve">Carrying Case Small (Rifle &amp; Optics w/ AIO)</t>
  </si>
  <si>
    <t xml:space="preserve">FISMUTK-C</t>
  </si>
  <si>
    <t xml:space="preserve">Carrying Case Small (Handgun &amp; Optics Toolkit)</t>
  </si>
  <si>
    <t xml:space="preserve">FISCPK-C</t>
  </si>
  <si>
    <t xml:space="preserve">Carrying Case Medium (Rifle &amp; Optics w/ Indiv Limiters)</t>
  </si>
  <si>
    <t xml:space="preserve">FISTTDC</t>
  </si>
  <si>
    <t xml:space="preserve">Carrying Case Large (The Works)</t>
  </si>
  <si>
    <t xml:space="preserve">FIS-DUO-C</t>
  </si>
  <si>
    <t xml:space="preserve">Carrying Case XL (All Purpose Driver Toolkit)</t>
  </si>
  <si>
    <t xml:space="preserve">FISAPK-C</t>
  </si>
  <si>
    <t xml:space="preserve">Carrying Case XL (Long Range / 3 Gun Toolkit)</t>
  </si>
  <si>
    <t xml:space="preserve">3GPR-C</t>
  </si>
  <si>
    <t xml:space="preserve">Carrying Case XXL (Field Armorer's Kit)</t>
  </si>
  <si>
    <t xml:space="preserve">FISFAK-C</t>
  </si>
  <si>
    <t xml:space="preserve">Hardcase (Nanuk 225) for Rifle &amp; Optics w/ AIO</t>
  </si>
  <si>
    <t xml:space="preserve">225-FISMUTK</t>
  </si>
  <si>
    <t xml:space="preserve">Hardcase (Nanuk 225) for Rifle &amp; Optics w/ Torque Limiters</t>
  </si>
  <si>
    <t xml:space="preserve">225-FISTLSL11</t>
  </si>
  <si>
    <t xml:space="preserve">Empty Works Hardcase w/ Panels and Bit Holders (NEW 2026)</t>
  </si>
  <si>
    <t xml:space="preserve">903-WORKS</t>
  </si>
  <si>
    <t xml:space="preserve">Add-On Bit Holder</t>
  </si>
  <si>
    <t xml:space="preserve">FISAOBH</t>
  </si>
  <si>
    <t xml:space="preserve">24-Bit Holder w/ Molle Clip</t>
  </si>
  <si>
    <t xml:space="preserve">FISMBHP</t>
  </si>
  <si>
    <t xml:space="preserve">Part Holder Large (3-Pack)</t>
  </si>
  <si>
    <t xml:space="preserve">FISPHL-3P</t>
  </si>
  <si>
    <t xml:space="preserve">Part Holder Medium (3-Pack)</t>
  </si>
  <si>
    <t xml:space="preserve">FISPHM-3P</t>
  </si>
  <si>
    <t xml:space="preserve">Part Holder Small (3-Pack)</t>
  </si>
  <si>
    <t xml:space="preserve">FISPHS-3P</t>
  </si>
  <si>
    <t xml:space="preserve">Pouch Bench Block</t>
  </si>
  <si>
    <t xml:space="preserve">FISPBP</t>
  </si>
  <si>
    <t xml:space="preserve">Magnetic Tray</t>
  </si>
  <si>
    <t xml:space="preserve">FISMMPP</t>
  </si>
  <si>
    <t xml:space="preserve">Magnetic Patch</t>
  </si>
  <si>
    <t xml:space="preserve">FIS-MAGP</t>
  </si>
  <si>
    <t xml:space="preserve">SWAG</t>
  </si>
  <si>
    <t xml:space="preserve">Fix It Sticks Velcro Patch</t>
  </si>
  <si>
    <t xml:space="preserve">FIS-PATCH</t>
  </si>
  <si>
    <t xml:space="preserve">T-Shirt</t>
  </si>
  <si>
    <t xml:space="preserve">FIS-TSHIRT</t>
  </si>
  <si>
    <t xml:space="preserve">CYCLING PRODUCTS</t>
  </si>
  <si>
    <t xml:space="preserve">Replaceable Edition (8 removable bits w/ bracket)</t>
  </si>
  <si>
    <t xml:space="preserve">FISR8BH</t>
  </si>
  <si>
    <t xml:space="preserve">Replaceable Edition Tire Levers (2-Pack)</t>
  </si>
  <si>
    <t xml:space="preserve">FISTL-2P</t>
  </si>
  <si>
    <t xml:space="preserve">Replaceable Edition 15mm Axle Nut Wrench</t>
  </si>
  <si>
    <t xml:space="preserve">FISW15</t>
  </si>
  <si>
    <t xml:space="preserve">Replaceable Edition Chain Breaker</t>
  </si>
  <si>
    <t xml:space="preserve">FISCBP</t>
  </si>
  <si>
    <t xml:space="preserve">Commuter Kit (Replaceable Sticks, Bracket, 8 Bits, Tire Levers, 15mm, Case)</t>
  </si>
  <si>
    <t xml:space="preserve">FIS-CKA</t>
  </si>
  <si>
    <t xml:space="preserve">Mountain Kit (Replaceable Sticks, Bracket, 8 Bits, Tire Levers, Chain Breaker, Case)</t>
  </si>
  <si>
    <t xml:space="preserve">FIS-CKB</t>
  </si>
  <si>
    <t xml:space="preserve">Roadie Set A (3,4,5mm Hex / Phillips #2) w/ bracket</t>
  </si>
  <si>
    <t xml:space="preserve">RDE1AL-B</t>
  </si>
  <si>
    <t xml:space="preserve">Mountain Set (4,5,6mm Hex / Torx 25) w/ bracket</t>
  </si>
  <si>
    <t xml:space="preserve">MTN1AL-B</t>
  </si>
  <si>
    <t xml:space="preserve">Cycling 6-Bit Add-On</t>
  </si>
  <si>
    <t xml:space="preserve">BITS-CA-6P</t>
  </si>
  <si>
    <t xml:space="preserve">Cycling 6-Bit Add-On #2</t>
  </si>
  <si>
    <t xml:space="preserve">BITS-CA2-6P</t>
  </si>
  <si>
    <t xml:space="preserve">Cycling Pro 6-Bit Add-On</t>
  </si>
  <si>
    <t xml:space="preserve">BITS-CPA-6</t>
  </si>
  <si>
    <t xml:space="preserve">HAWKINS PRECISION</t>
  </si>
  <si>
    <t xml:space="preserve">hawkinsprecision.com</t>
  </si>
  <si>
    <t xml:space="preserve">2025 Pricing Sheet — Bottom metals, magazines, scope rings/mounts, muzzle brakes, accessories</t>
  </si>
  <si>
    <t xml:space="preserve">OBERNDORF BDL BOTTOM METALS &amp; FOLLOWERS</t>
  </si>
  <si>
    <t xml:space="preserve">Oberndorf Bottom Metal — LA — Raw Aluminum</t>
  </si>
  <si>
    <t xml:space="preserve">300-0001-RAW</t>
  </si>
  <si>
    <t xml:space="preserve">Oberndorf Bottom Metal — LA — Black Anodized</t>
  </si>
  <si>
    <t xml:space="preserve">300-0001-ANO</t>
  </si>
  <si>
    <t xml:space="preserve">Oberndorf Bottom Metal — LA — Extended Box — Raw Aluminum</t>
  </si>
  <si>
    <t xml:space="preserve">300-0001.EXT-RAW</t>
  </si>
  <si>
    <t xml:space="preserve">Oberndorf Bottom Metal — LA — Extended Box — Black Anodized</t>
  </si>
  <si>
    <t xml:space="preserve">300-0001.EXT-ANO</t>
  </si>
  <si>
    <t xml:space="preserve">Oberndorf Bottom Metal — SA — Raw Aluminum</t>
  </si>
  <si>
    <t xml:space="preserve">300-0002-RAW</t>
  </si>
  <si>
    <t xml:space="preserve">Oberndorf Bottom Metal — SA — Black Anodized</t>
  </si>
  <si>
    <t xml:space="preserve">300-0002-ANO</t>
  </si>
  <si>
    <t xml:space="preserve">Oberndorf Bottom Metal — SA — Extended Box — Raw Aluminum</t>
  </si>
  <si>
    <t xml:space="preserve">300-0002.EXT-RAW</t>
  </si>
  <si>
    <t xml:space="preserve">Oberndorf Bottom Metal — SA — Extended Box — Black Anodized</t>
  </si>
  <si>
    <t xml:space="preserve">300-0002.EXT-ANO</t>
  </si>
  <si>
    <t xml:space="preserve">Remington 700 LA Magnum Follower</t>
  </si>
  <si>
    <t xml:space="preserve">390-0001-01</t>
  </si>
  <si>
    <t xml:space="preserve">Remington 700 LA Standard Follower</t>
  </si>
  <si>
    <t xml:space="preserve">390-0002-01</t>
  </si>
  <si>
    <t xml:space="preserve">Remington 700 SA Standard Follower</t>
  </si>
  <si>
    <t xml:space="preserve">390-0003-01</t>
  </si>
  <si>
    <t xml:space="preserve">Remington 700 SA Magnum Follower</t>
  </si>
  <si>
    <t xml:space="preserve">390-0003-03</t>
  </si>
  <si>
    <t xml:space="preserve">Medium Length Magnum Follower (Impact/Lone Peak/Stiller/Zermatt)</t>
  </si>
  <si>
    <t xml:space="preserve">390-0003-05</t>
  </si>
  <si>
    <t xml:space="preserve">BDL Spring Set (25 Count)</t>
  </si>
  <si>
    <t xml:space="preserve">HP-100-25</t>
  </si>
  <si>
    <t xml:space="preserve">M5 OBERNDORF BDL BOTTOM METAL</t>
  </si>
  <si>
    <t xml:space="preserve">LA M5 Oberndorf Bottom Metal — Anodized Black</t>
  </si>
  <si>
    <t xml:space="preserve">301-0001-ANO</t>
  </si>
  <si>
    <t xml:space="preserve">LA M5 Oberndorf Bottom Metal — Raw Aluminum</t>
  </si>
  <si>
    <t xml:space="preserve">301-0001-RAW</t>
  </si>
  <si>
    <t xml:space="preserve">LA M5 Oberndorf Bottom Metal — Standard Box — Ano Black</t>
  </si>
  <si>
    <t xml:space="preserve">301-0002.PSTD</t>
  </si>
  <si>
    <t xml:space="preserve">SA M5 Oberndorf Bottom Metal — Anodized Black</t>
  </si>
  <si>
    <t xml:space="preserve">301-0002-ANO</t>
  </si>
  <si>
    <t xml:space="preserve">SA M5 Oberndorf Bottom Metal — Raw Aluminum</t>
  </si>
  <si>
    <t xml:space="preserve">301-0002-RAW</t>
  </si>
  <si>
    <t xml:space="preserve">SA M5 Oberndorf Bottom Metal — Standard Box — Ano Black</t>
  </si>
  <si>
    <t xml:space="preserve">MED M5 Oberndorf Bottom Metal — Anodized Black</t>
  </si>
  <si>
    <t xml:space="preserve">301-0004-ANO</t>
  </si>
  <si>
    <t xml:space="preserve">MED M5 Oberndorf Bottom Metal — Raw Aluminum</t>
  </si>
  <si>
    <t xml:space="preserve">301-0004-RAW</t>
  </si>
  <si>
    <t xml:space="preserve">M5 DBM &amp; HUNTER BOTTOM METAL</t>
  </si>
  <si>
    <t xml:space="preserve">M5 DBM — LA (Win Mag) — 3.715" Magazines</t>
  </si>
  <si>
    <t xml:space="preserve">310-0001-01</t>
  </si>
  <si>
    <t xml:space="preserve">M5 DBM — LA (CIP -338 Lapua) — Accuracy International (#6715) Mags</t>
  </si>
  <si>
    <t xml:space="preserve">310-0001-02</t>
  </si>
  <si>
    <t xml:space="preserve">M5 DBM — LA (CIP+ -338 Lapua) — 3.850" Accurate/MDT Mags</t>
  </si>
  <si>
    <t xml:space="preserve">310-0001-02+</t>
  </si>
  <si>
    <t xml:space="preserve">Defiance XM Mid-Length DBM</t>
  </si>
  <si>
    <t xml:space="preserve">310-0003</t>
  </si>
  <si>
    <t xml:space="preserve">MED M5 DBM (Lone Peak/Zermatt/Stiller/Impact/XM+)</t>
  </si>
  <si>
    <t xml:space="preserve">310-0004</t>
  </si>
  <si>
    <t xml:space="preserve">M5 DBM — SA (Standard SA Latch)</t>
  </si>
  <si>
    <t xml:space="preserve">310-0002.1</t>
  </si>
  <si>
    <t xml:space="preserve">M5 DBM — SA (Long Latch) — 22LR / .223 / AW Magazines</t>
  </si>
  <si>
    <t xml:space="preserve">310-0002.2</t>
  </si>
  <si>
    <t xml:space="preserve">LA Hunter DBM</t>
  </si>
  <si>
    <t xml:space="preserve">311-0001</t>
  </si>
  <si>
    <t xml:space="preserve">SA Hunter DBM</t>
  </si>
  <si>
    <t xml:space="preserve">311-0002</t>
  </si>
  <si>
    <t xml:space="preserve">MED Length Hunter DBM (Lone Peak/Zermatt/Stiller/Impact/XM+)</t>
  </si>
  <si>
    <t xml:space="preserve">311-0004</t>
  </si>
  <si>
    <t xml:space="preserve">MED Length 3.500" Hunter DBM</t>
  </si>
  <si>
    <t xml:space="preserve">311-0005</t>
  </si>
  <si>
    <t xml:space="preserve">M5 DBM Front Picatinny Rail</t>
  </si>
  <si>
    <t xml:space="preserve">310-1000</t>
  </si>
  <si>
    <t xml:space="preserve">HUNTER FLUSH MAGAZINES &amp; SPACER KITS</t>
  </si>
  <si>
    <t xml:space="preserve">Hunter SA Flush Magazine — .308/Creedmoor</t>
  </si>
  <si>
    <t xml:space="preserve">311-1002.01</t>
  </si>
  <si>
    <t xml:space="preserve">Hunter SA Flush Magazine — .308/Creedmoor Extended</t>
  </si>
  <si>
    <t xml:space="preserve">311-1002.01E</t>
  </si>
  <si>
    <t xml:space="preserve">Hunter SA Flush Magazine — 6.5 PRC/SAUM</t>
  </si>
  <si>
    <t xml:space="preserve">311-1002.02</t>
  </si>
  <si>
    <t xml:space="preserve">Hunter SA Flush Magazine — 6 ARC / 6.5 Grendel</t>
  </si>
  <si>
    <t xml:space="preserve">311-1002.03</t>
  </si>
  <si>
    <t xml:space="preserve">Hunter SA Flush Magazine — .223 Rem</t>
  </si>
  <si>
    <t xml:space="preserve">311-1002.04</t>
  </si>
  <si>
    <t xml:space="preserve">Hunter MED Length Flush Magazine — 6.5 PRC/SAUM</t>
  </si>
  <si>
    <t xml:space="preserve">311-1004.01</t>
  </si>
  <si>
    <t xml:space="preserve">Hunter MED 3.500" COAL Flush Magazine — Magnum/7 PRC</t>
  </si>
  <si>
    <t xml:space="preserve">311-1005.01</t>
  </si>
  <si>
    <t xml:space="preserve">Hunter LA Flush Magazine — 300 PRC / 7 PRC / 28 Nosler</t>
  </si>
  <si>
    <t xml:space="preserve">311-1001.01</t>
  </si>
  <si>
    <t xml:space="preserve">Hunter LA Flush Magazine — 300 NM / 338 Lapua</t>
  </si>
  <si>
    <t xml:space="preserve">311-1001.02</t>
  </si>
  <si>
    <t xml:space="preserve">Hunter LA Flush Magazine — 284 Win</t>
  </si>
  <si>
    <t xml:space="preserve">311-1001.03</t>
  </si>
  <si>
    <t xml:space="preserve">Hunter LA Flush Magazine — 280 AI / 30-06</t>
  </si>
  <si>
    <t xml:space="preserve">311-1001.04</t>
  </si>
  <si>
    <t xml:space="preserve">Hunter LA Flush Magazine — Belted Magnum</t>
  </si>
  <si>
    <t xml:space="preserve">311-1001.05</t>
  </si>
  <si>
    <t xml:space="preserve">Chassis SA Hunter Magazine — .308/Creedmoor</t>
  </si>
  <si>
    <t xml:space="preserve">311-2002.01</t>
  </si>
  <si>
    <t xml:space="preserve">Chassis SA Hunter Magazine — .308/Creedmoor Extended</t>
  </si>
  <si>
    <t xml:space="preserve">311-2002.01E</t>
  </si>
  <si>
    <t xml:space="preserve">Chassis SA Hunter Magazine — 6.5 PRC/SAUM</t>
  </si>
  <si>
    <t xml:space="preserve">311-2002.02</t>
  </si>
  <si>
    <t xml:space="preserve">LA Magazine Spacer Kit — PRC/SAUM Cases</t>
  </si>
  <si>
    <t xml:space="preserve">311-1001-SK</t>
  </si>
  <si>
    <t xml:space="preserve">SA Magazine Spacer Kit — 6BR/Dasher Cases</t>
  </si>
  <si>
    <t xml:space="preserve">311-1002-SK</t>
  </si>
  <si>
    <t xml:space="preserve">ULTRA LIGHT TACTICAL SCOPE RINGS</t>
  </si>
  <si>
    <t xml:space="preserve">30mm Low Scope Ring Set 0.885"</t>
  </si>
  <si>
    <t xml:space="preserve">901-0001</t>
  </si>
  <si>
    <t xml:space="preserve">30mm Medium Scope Ring Set 1.0"</t>
  </si>
  <si>
    <t xml:space="preserve">901-0002</t>
  </si>
  <si>
    <t xml:space="preserve">30mm High Scope Ring Set 1.25"</t>
  </si>
  <si>
    <t xml:space="preserve">901-0003</t>
  </si>
  <si>
    <t xml:space="preserve">34mm Low Scope Ring Set 0.885"</t>
  </si>
  <si>
    <t xml:space="preserve">902-0001</t>
  </si>
  <si>
    <t xml:space="preserve">34mm Medium Scope Ring Set 1.0"</t>
  </si>
  <si>
    <t xml:space="preserve">902-0002</t>
  </si>
  <si>
    <t xml:space="preserve">34mm High Scope Ring Set 1.25"</t>
  </si>
  <si>
    <t xml:space="preserve">902-0003</t>
  </si>
  <si>
    <t xml:space="preserve">34mm X-High Scope Ring Set 1.375"</t>
  </si>
  <si>
    <t xml:space="preserve">902-0004</t>
  </si>
  <si>
    <t xml:space="preserve">35mm Low Scope Ring Set 0.885"</t>
  </si>
  <si>
    <t xml:space="preserve">903-0001</t>
  </si>
  <si>
    <t xml:space="preserve">35mm Medium Scope Ring Set 1.0"</t>
  </si>
  <si>
    <t xml:space="preserve">903-0002</t>
  </si>
  <si>
    <t xml:space="preserve">35mm High Scope Ring Set 1.25"</t>
  </si>
  <si>
    <t xml:space="preserve">903-0003</t>
  </si>
  <si>
    <t xml:space="preserve">35mm X-High Scope Ring Set 1.375"</t>
  </si>
  <si>
    <t xml:space="preserve">903-0004</t>
  </si>
  <si>
    <t xml:space="preserve">30mm Low Scope Ring Set 0.885" — Offset Level Cap</t>
  </si>
  <si>
    <t xml:space="preserve">901-0011</t>
  </si>
  <si>
    <t xml:space="preserve">30mm Medium Scope Ring Set 1.0" — Offset Level Cap</t>
  </si>
  <si>
    <t xml:space="preserve">901-0012</t>
  </si>
  <si>
    <t xml:space="preserve">30mm High Scope Ring Set 1.25" — Offset Level Cap</t>
  </si>
  <si>
    <t xml:space="preserve">901-0013</t>
  </si>
  <si>
    <t xml:space="preserve">34mm Low Scope Ring Set 0.885" — Offset Level Cap</t>
  </si>
  <si>
    <t xml:space="preserve">902-0011</t>
  </si>
  <si>
    <t xml:space="preserve">34mm Medium Scope Ring Set 1.0" — Offset Level Cap</t>
  </si>
  <si>
    <t xml:space="preserve">902-0012</t>
  </si>
  <si>
    <t xml:space="preserve">34mm High Scope Ring Set 1.25" — Offset Level Cap</t>
  </si>
  <si>
    <t xml:space="preserve">902-0013</t>
  </si>
  <si>
    <t xml:space="preserve">34mm X-High Scope Ring Set 1.375" — Offset Level Cap</t>
  </si>
  <si>
    <t xml:space="preserve">902-0014</t>
  </si>
  <si>
    <t xml:space="preserve">35mm Low Scope Ring Set 0.885" — Offset Level Cap</t>
  </si>
  <si>
    <t xml:space="preserve">903-0011</t>
  </si>
  <si>
    <t xml:space="preserve">35mm Medium Scope Ring Set 1.0" — Offset Level Cap</t>
  </si>
  <si>
    <t xml:space="preserve">903-0012</t>
  </si>
  <si>
    <t xml:space="preserve">35mm High Scope Ring Set 1.25" — Offset Level Cap</t>
  </si>
  <si>
    <t xml:space="preserve">903-0013</t>
  </si>
  <si>
    <t xml:space="preserve">35mm X-High Scope Ring Set 1.375" — Offset Level Cap</t>
  </si>
  <si>
    <t xml:space="preserve">903-0014</t>
  </si>
  <si>
    <t xml:space="preserve">36mm Medium Scope Ring Set 1.0" — Offset Level Cap</t>
  </si>
  <si>
    <t xml:space="preserve">904-0012</t>
  </si>
  <si>
    <t xml:space="preserve">LONG RANGE HYBRID RINGS</t>
  </si>
  <si>
    <t xml:space="preserve">30mm Remington LA 0.5" 25MOA #6 &amp; #8</t>
  </si>
  <si>
    <t xml:space="preserve">930-L-LA-R-1-3</t>
  </si>
  <si>
    <t xml:space="preserve">30mm Remington SA 0.5" 25MOA #6 &amp; #8</t>
  </si>
  <si>
    <t xml:space="preserve">930-L-SA-R-1-1</t>
  </si>
  <si>
    <t xml:space="preserve">30mm Remington LA 0.6" 25MOA #6 &amp; #8</t>
  </si>
  <si>
    <t xml:space="preserve">930-H-LA-R-1-4</t>
  </si>
  <si>
    <t xml:space="preserve">30mm Remington SA 0.6" 25MOA #6 &amp; #8</t>
  </si>
  <si>
    <t xml:space="preserve">930-H-SA-R-1-2</t>
  </si>
  <si>
    <t xml:space="preserve">30mm Stiller/Lone Peak LA 0.5" 25MOA #8</t>
  </si>
  <si>
    <t xml:space="preserve">930-L-LA-S-2-3</t>
  </si>
  <si>
    <t xml:space="preserve">30mm Stiller/Lone Peak SA 0.5" 25MOA #8</t>
  </si>
  <si>
    <t xml:space="preserve">930-L-SA-S-2-1</t>
  </si>
  <si>
    <t xml:space="preserve">30mm Stiller/Lone Peak LA 0.6" 25MOA #8</t>
  </si>
  <si>
    <t xml:space="preserve">930-H-LA-S-2-4</t>
  </si>
  <si>
    <t xml:space="preserve">30mm Stiller/Lone Peak SA 0.6" 25MOA #8</t>
  </si>
  <si>
    <t xml:space="preserve">930-H-SA-S-2-2</t>
  </si>
  <si>
    <t xml:space="preserve">30mm Defiance LA 0.5" 25MOA #8</t>
  </si>
  <si>
    <t xml:space="preserve">930-L-LA-D-3-3</t>
  </si>
  <si>
    <t xml:space="preserve">30mm Defiance SA 0.5" 25MOA #8</t>
  </si>
  <si>
    <t xml:space="preserve">930-L-SA-D-3-1</t>
  </si>
  <si>
    <t xml:space="preserve">30mm Defiance LA 0.6" 25MOA #8</t>
  </si>
  <si>
    <t xml:space="preserve">930-H-LA-D-3-4</t>
  </si>
  <si>
    <t xml:space="preserve">30mm Defiance SA 0.6" 25MOA #8</t>
  </si>
  <si>
    <t xml:space="preserve">930-H-SA-D-3-2</t>
  </si>
  <si>
    <t xml:space="preserve">30mm Borden SA 0.5" 25MOA #8</t>
  </si>
  <si>
    <t xml:space="preserve">930-L-SA-B-5-1</t>
  </si>
  <si>
    <t xml:space="preserve">30mm Borden SA 0.6" 25MOA #8</t>
  </si>
  <si>
    <t xml:space="preserve">930-H-SA-B-5-2</t>
  </si>
  <si>
    <t xml:space="preserve">30mm Borden LA 0.5" 25MOA #8</t>
  </si>
  <si>
    <t xml:space="preserve">930-L-LA-B-5-3</t>
  </si>
  <si>
    <t xml:space="preserve">30mm Borden LA 0.6" 25MOA #8</t>
  </si>
  <si>
    <t xml:space="preserve">930-H-LA-B-5-4</t>
  </si>
  <si>
    <t xml:space="preserve">30mm Tikka 0.5" 25MOA #6</t>
  </si>
  <si>
    <t xml:space="preserve">930-L-TIKKA-4-1</t>
  </si>
  <si>
    <t xml:space="preserve">30mm Tikka 0.6" 25MOA #6</t>
  </si>
  <si>
    <t xml:space="preserve">930-H-TIKKA-4-2</t>
  </si>
  <si>
    <t xml:space="preserve">34mm Remington LA 0.55" 25MOA #6 &amp; #8</t>
  </si>
  <si>
    <t xml:space="preserve">934-L-LA-R-1-7</t>
  </si>
  <si>
    <t xml:space="preserve">34mm Remington SA 0.55" 25MOA #6 &amp; #8</t>
  </si>
  <si>
    <t xml:space="preserve">934-L-SA-R-1-5</t>
  </si>
  <si>
    <t xml:space="preserve">34mm Remington LA 0.65" 25MOA #6 &amp; #8</t>
  </si>
  <si>
    <t xml:space="preserve">934-H-LA-R-1-8</t>
  </si>
  <si>
    <t xml:space="preserve">34mm Remington SA 0.65" 25MOA #6 &amp; #8</t>
  </si>
  <si>
    <t xml:space="preserve">934-H-SA-R-1-6</t>
  </si>
  <si>
    <t xml:space="preserve">34mm Stiller/Lone Peak LA 0.55" 25MOA #8</t>
  </si>
  <si>
    <t xml:space="preserve">934-L-LA-S-2-7</t>
  </si>
  <si>
    <t xml:space="preserve">34mm Stiller/Lone Peak SA 0.55" 25MOA #8</t>
  </si>
  <si>
    <t xml:space="preserve">934-L-SA-S-2-5</t>
  </si>
  <si>
    <t xml:space="preserve">34mm Stiller/Lone Peak LA 0.65" 25MOA #8</t>
  </si>
  <si>
    <t xml:space="preserve">934-H-LA-S-2-8</t>
  </si>
  <si>
    <t xml:space="preserve">34mm Stiller/Lone Peak SA 0.65" 25MOA #8</t>
  </si>
  <si>
    <t xml:space="preserve">934-H-SA-S-2-6</t>
  </si>
  <si>
    <t xml:space="preserve">34mm Tikka 0.55" Low Hybrid</t>
  </si>
  <si>
    <t xml:space="preserve">934-L-TIKKA-4-5</t>
  </si>
  <si>
    <t xml:space="preserve">34mm Tikka 0.65" High Hybrid</t>
  </si>
  <si>
    <t xml:space="preserve">934-H-TIKKA-4-6</t>
  </si>
  <si>
    <t xml:space="preserve">34mm Defiance SA 0.55" 25MOA #8</t>
  </si>
  <si>
    <t xml:space="preserve">934-L-SA-D-3-5</t>
  </si>
  <si>
    <t xml:space="preserve">34mm Defiance SA 0.65" 25MOA #8</t>
  </si>
  <si>
    <t xml:space="preserve">934-H-SA-D-3-6</t>
  </si>
  <si>
    <t xml:space="preserve">34mm Defiance LA 0.55" 25MOA #8</t>
  </si>
  <si>
    <t xml:space="preserve">934-L-LA-D-3-7</t>
  </si>
  <si>
    <t xml:space="preserve">34mm Defiance LA 0.65" 25MOA #8</t>
  </si>
  <si>
    <t xml:space="preserve">934-H-LA-D-3-8</t>
  </si>
  <si>
    <t xml:space="preserve">34mm Borden SA 0.55" 25MOA #8</t>
  </si>
  <si>
    <t xml:space="preserve">934-L-SA-B-5-5</t>
  </si>
  <si>
    <t xml:space="preserve">34mm Borden SA 0.65" 25MOA #8</t>
  </si>
  <si>
    <t xml:space="preserve">934-H-SA-B-5-6</t>
  </si>
  <si>
    <t xml:space="preserve">34mm Borden LA 0.55" 25MOA #8</t>
  </si>
  <si>
    <t xml:space="preserve">934-L-LA-B-5-7</t>
  </si>
  <si>
    <t xml:space="preserve">34mm Borden LA 0.65" 25MOA #8</t>
  </si>
  <si>
    <t xml:space="preserve">934-H-LA-B-5-8</t>
  </si>
  <si>
    <t xml:space="preserve">HEAVY TACTICAL SCOPE RINGS</t>
  </si>
  <si>
    <t xml:space="preserve">34mm Heavy Tactical Scope Ring Set with Pic Rail 1.0"</t>
  </si>
  <si>
    <t xml:space="preserve">912-0002</t>
  </si>
  <si>
    <t xml:space="preserve">34mm Heavy Tactical Scope Ring Set with Pic Rail 1.15"</t>
  </si>
  <si>
    <t xml:space="preserve">912-0003</t>
  </si>
  <si>
    <t xml:space="preserve">35mm Heavy Tactical Scope Ring Set with Pic Rail 1.0"</t>
  </si>
  <si>
    <t xml:space="preserve">913-0002</t>
  </si>
  <si>
    <t xml:space="preserve">35mm Heavy Tactical Scope Ring Set with Pic Rail 1.15"</t>
  </si>
  <si>
    <t xml:space="preserve">913-0003</t>
  </si>
  <si>
    <t xml:space="preserve">36mm Heavy Tactical Scope Ring Set with Pic Rail 1.0"</t>
  </si>
  <si>
    <t xml:space="preserve">914-0002</t>
  </si>
  <si>
    <t xml:space="preserve">36mm Heavy Tactical Scope Ring Set with Pic Rail 1.15"</t>
  </si>
  <si>
    <t xml:space="preserve">914-0003</t>
  </si>
  <si>
    <t xml:space="preserve">HEAVY TACTICAL 1-PC MOUNTS</t>
  </si>
  <si>
    <t xml:space="preserve">34mm Heavy Tactical 1PC 0MOA / Pic Rail 1.27"</t>
  </si>
  <si>
    <t xml:space="preserve">912-2001.00</t>
  </si>
  <si>
    <t xml:space="preserve">34mm Heavy Tactical 1PC 20MOA / Pic Rail 1.27"</t>
  </si>
  <si>
    <t xml:space="preserve">912-2001.01</t>
  </si>
  <si>
    <t xml:space="preserve">34mm Heavy Tactical 1PC 40MOA / Pic Rail 1.27"</t>
  </si>
  <si>
    <t xml:space="preserve">912-2001.02</t>
  </si>
  <si>
    <t xml:space="preserve">34mm Heavy Tactical 1PC 0MOA / Pic Rail 1.5"</t>
  </si>
  <si>
    <t xml:space="preserve">912-2002.00</t>
  </si>
  <si>
    <t xml:space="preserve">34mm Heavy Tactical 1PC 20MOA / Pic Rail 1.5"</t>
  </si>
  <si>
    <t xml:space="preserve">912-2002.01</t>
  </si>
  <si>
    <t xml:space="preserve">34mm Heavy Tactical 1PC 40MOA / Pic Rail 1.5"</t>
  </si>
  <si>
    <t xml:space="preserve">912-2002.02</t>
  </si>
  <si>
    <t xml:space="preserve">35mm Heavy Tactical 1PC 0MOA / Pic Rail 1.27"</t>
  </si>
  <si>
    <t xml:space="preserve">913-2001.00</t>
  </si>
  <si>
    <t xml:space="preserve">35mm Heavy Tactical 1PC 20MOA / Pic Rail 1.27"</t>
  </si>
  <si>
    <t xml:space="preserve">913-2001.01</t>
  </si>
  <si>
    <t xml:space="preserve">35mm Heavy Tactical 1PC 40MOA / Pic Rail 1.27"</t>
  </si>
  <si>
    <t xml:space="preserve">913-2001.02</t>
  </si>
  <si>
    <t xml:space="preserve">35mm Heavy Tactical 1PC 0MOA / Pic Rail 1.5"</t>
  </si>
  <si>
    <t xml:space="preserve">913-2002.00</t>
  </si>
  <si>
    <t xml:space="preserve">35mm Heavy Tactical 1PC 20MOA / Pic Rail 1.5"</t>
  </si>
  <si>
    <t xml:space="preserve">913-2002.01</t>
  </si>
  <si>
    <t xml:space="preserve">35mm Heavy Tactical 1PC 40MOA / Pic Rail 1.5"</t>
  </si>
  <si>
    <t xml:space="preserve">913-2002.02</t>
  </si>
  <si>
    <t xml:space="preserve">36mm Heavy Tactical 1PC 0MOA / Pic Rail 1.27"</t>
  </si>
  <si>
    <t xml:space="preserve">914-2001.00</t>
  </si>
  <si>
    <t xml:space="preserve">36mm Heavy Tactical 1PC 20MOA / Pic Rail 1.27"</t>
  </si>
  <si>
    <t xml:space="preserve">914-2001.01</t>
  </si>
  <si>
    <t xml:space="preserve">36mm Heavy Tactical 1PC 40MOA / Pic Rail 1.27"</t>
  </si>
  <si>
    <t xml:space="preserve">914-2001.02</t>
  </si>
  <si>
    <t xml:space="preserve">36mm Heavy Tactical 1PC 0MOA / Pic Rail 1.5"</t>
  </si>
  <si>
    <t xml:space="preserve">914-2002.00</t>
  </si>
  <si>
    <t xml:space="preserve">36mm Heavy Tactical 1PC 20MOA / Pic Rail 1.5"</t>
  </si>
  <si>
    <t xml:space="preserve">914-2002.01</t>
  </si>
  <si>
    <t xml:space="preserve">36mm Heavy Tactical 1PC 40MOA / Pic Rail 1.5"</t>
  </si>
  <si>
    <t xml:space="preserve">914-2002.02</t>
  </si>
  <si>
    <t xml:space="preserve">HEAVY TACTICAL CANTILEVER 1-PC MOUNTS</t>
  </si>
  <si>
    <t xml:space="preserve">34mm Heavy Tactical Cantilever 1PC 0MOA / Pic Rail 1.5"</t>
  </si>
  <si>
    <t xml:space="preserve">912-3002.00</t>
  </si>
  <si>
    <t xml:space="preserve">34mm Heavy Tactical Cantilever 1PC 20MOA / Pic Rail 1.5"</t>
  </si>
  <si>
    <t xml:space="preserve">912-3002.01</t>
  </si>
  <si>
    <t xml:space="preserve">34mm Heavy Tactical Cantilever 1PC 40MOA / Pic Rail 1.5"</t>
  </si>
  <si>
    <t xml:space="preserve">912-3002.02</t>
  </si>
  <si>
    <t xml:space="preserve">FEATHERWEIGHT SCOPE RINGS</t>
  </si>
  <si>
    <t xml:space="preserve">Featherweight 1PC R700 — 1.0" Low</t>
  </si>
  <si>
    <t xml:space="preserve">725-L-R-71-1</t>
  </si>
  <si>
    <t xml:space="preserve">Featherweight 1PC R700 — 1.0" Med</t>
  </si>
  <si>
    <t xml:space="preserve">725-M-R-71-2</t>
  </si>
  <si>
    <t xml:space="preserve">Featherweight 1PC R700 — 1.0" High</t>
  </si>
  <si>
    <t xml:space="preserve">725-H-R-71-3</t>
  </si>
  <si>
    <t xml:space="preserve">Featherweight 1PC R700 — 30mm Low</t>
  </si>
  <si>
    <t xml:space="preserve">730-L-R-71-4</t>
  </si>
  <si>
    <t xml:space="preserve">Featherweight 1PC R700 — 30mm Med</t>
  </si>
  <si>
    <t xml:space="preserve">730-M-R-71-5</t>
  </si>
  <si>
    <t xml:space="preserve">Featherweight 1PC R700 — 30mm High</t>
  </si>
  <si>
    <t xml:space="preserve">730-H-R-71-6</t>
  </si>
  <si>
    <t xml:space="preserve">Featherweight 1PC Savage 110/Stiller — 1.0" Low</t>
  </si>
  <si>
    <t xml:space="preserve">725-L-STIL-72-1</t>
  </si>
  <si>
    <t xml:space="preserve">Featherweight 1PC Savage 110/Stiller — 1.0" Med</t>
  </si>
  <si>
    <t xml:space="preserve">725-M-STIL-72-2</t>
  </si>
  <si>
    <t xml:space="preserve">Featherweight 1PC Savage 110/Stiller — 1.0" High</t>
  </si>
  <si>
    <t xml:space="preserve">725-H-STIL-72-3</t>
  </si>
  <si>
    <t xml:space="preserve">Featherweight 1PC Savage 110/Stiller — 30mm Low</t>
  </si>
  <si>
    <t xml:space="preserve">730-L-STIL-72-4</t>
  </si>
  <si>
    <t xml:space="preserve">Featherweight 1PC Savage 110/Stiller — 30mm Med</t>
  </si>
  <si>
    <t xml:space="preserve">730-M-STIL-72-5</t>
  </si>
  <si>
    <t xml:space="preserve">Featherweight 1PC Savage 110/Stiller — 30mm High</t>
  </si>
  <si>
    <t xml:space="preserve">730-H-STIL-72-6</t>
  </si>
  <si>
    <t xml:space="preserve">Featherweight 1PC Tikka — 1.0" Low</t>
  </si>
  <si>
    <t xml:space="preserve">725-L-TIKKA-74-1</t>
  </si>
  <si>
    <t xml:space="preserve">Featherweight 1PC Tikka — 1.0" Med</t>
  </si>
  <si>
    <t xml:space="preserve">725-M-TIKKA-74-2</t>
  </si>
  <si>
    <t xml:space="preserve">Featherweight 1PC Tikka — 1.0" High</t>
  </si>
  <si>
    <t xml:space="preserve">725-H-TIKKA-74-3</t>
  </si>
  <si>
    <t xml:space="preserve">Featherweight 1PC Tikka — 30mm Low</t>
  </si>
  <si>
    <t xml:space="preserve">730-L-TIKKA-74-4</t>
  </si>
  <si>
    <t xml:space="preserve">Featherweight 1PC Tikka — 30mm Med</t>
  </si>
  <si>
    <t xml:space="preserve">730-M-TIKKA-74-5</t>
  </si>
  <si>
    <t xml:space="preserve">Featherweight 1PC Tikka — 30mm High</t>
  </si>
  <si>
    <t xml:space="preserve">730-H-TIKKA-74-6</t>
  </si>
  <si>
    <t xml:space="preserve">Featherweight 1PC Defiance — 1.0" Low</t>
  </si>
  <si>
    <t xml:space="preserve">725-L-DEF-73-1</t>
  </si>
  <si>
    <t xml:space="preserve">Featherweight 1PC Defiance — 1.0" Med</t>
  </si>
  <si>
    <t xml:space="preserve">725-M-DEF-73-2</t>
  </si>
  <si>
    <t xml:space="preserve">Featherweight 1PC Defiance — 1.0" High</t>
  </si>
  <si>
    <t xml:space="preserve">725-H-DEF-73-3</t>
  </si>
  <si>
    <t xml:space="preserve">Featherweight 1PC Defiance — 30mm Low</t>
  </si>
  <si>
    <t xml:space="preserve">730-L-DEF-73-4</t>
  </si>
  <si>
    <t xml:space="preserve">Featherweight 1PC Defiance — 30mm Med</t>
  </si>
  <si>
    <t xml:space="preserve">730-M-DEF-73-5</t>
  </si>
  <si>
    <t xml:space="preserve">Featherweight 1PC Defiance — 30mm High</t>
  </si>
  <si>
    <t xml:space="preserve">730-H-DEF-74-6</t>
  </si>
  <si>
    <t xml:space="preserve">GUNSMITH INSTALL MUZZLE BRAKES</t>
  </si>
  <si>
    <t xml:space="preserve">.687" 2-Port Round 7/16-32 — Gunsmith Install</t>
  </si>
  <si>
    <t xml:space="preserve">102-0687</t>
  </si>
  <si>
    <t xml:space="preserve">.750" 2-Port Round 1/2-28 — Gunsmith Install</t>
  </si>
  <si>
    <t xml:space="preserve">102-0750</t>
  </si>
  <si>
    <t xml:space="preserve">.800" 2-Port Round 9/16-24 — Gunsmith Install</t>
  </si>
  <si>
    <t xml:space="preserve">102-0800</t>
  </si>
  <si>
    <t xml:space="preserve">.875" 2-Port Round 5/8-24 — Gunsmith Install</t>
  </si>
  <si>
    <t xml:space="preserve">102-0875</t>
  </si>
  <si>
    <t xml:space="preserve">.875" 2-Port Round 5/8-24 — Titanium — Gunsmith Install</t>
  </si>
  <si>
    <t xml:space="preserve">102-0875-TI</t>
  </si>
  <si>
    <t xml:space="preserve">1" 2-Port Round 5/8-24 — Gunsmith Install</t>
  </si>
  <si>
    <t xml:space="preserve">102-1000</t>
  </si>
  <si>
    <t xml:space="preserve">1" 2-Port Round 5/8-24 — Titanium — Gunsmith Install</t>
  </si>
  <si>
    <t xml:space="preserve">102-1000-TI</t>
  </si>
  <si>
    <t xml:space="preserve">.687" 3-Port Round 7/16-32 — Gunsmith Install</t>
  </si>
  <si>
    <t xml:space="preserve">103-0687</t>
  </si>
  <si>
    <t xml:space="preserve">.687" 3-Port Round 1/2-28 — Gunsmith Install</t>
  </si>
  <si>
    <t xml:space="preserve">103-0687.1</t>
  </si>
  <si>
    <t xml:space="preserve">.750" 3-Port Round 1/2-28 — Gunsmith Install</t>
  </si>
  <si>
    <t xml:space="preserve">103-0750</t>
  </si>
  <si>
    <t xml:space="preserve">.800" 3-Port Round 9/16-24 — Gunsmith Install</t>
  </si>
  <si>
    <t xml:space="preserve">103-0800</t>
  </si>
  <si>
    <t xml:space="preserve">.875" 3-Port Round 5/8-24 — Gunsmith Install</t>
  </si>
  <si>
    <t xml:space="preserve">103-0875</t>
  </si>
  <si>
    <t xml:space="preserve">.875" 3-Port Round 5/8-24 — Titanium — Gunsmith Install</t>
  </si>
  <si>
    <t xml:space="preserve">103-0875-TI</t>
  </si>
  <si>
    <t xml:space="preserve">1" 3-Port Round 5/8-24 — Gunsmith Install</t>
  </si>
  <si>
    <t xml:space="preserve">103-1000</t>
  </si>
  <si>
    <t xml:space="preserve">1" 3-Port Round 5/8-24 — Titanium — Gunsmith Install</t>
  </si>
  <si>
    <t xml:space="preserve">103-1000-TI</t>
  </si>
  <si>
    <t xml:space="preserve">SELF-TIMING MUZZLE BRAKES</t>
  </si>
  <si>
    <t xml:space="preserve">Tank ST Muzzle Brake — .750 — 1/2-28 — 6.5mm — Self Timing</t>
  </si>
  <si>
    <t xml:space="preserve">104-0750-6.5MM</t>
  </si>
  <si>
    <t xml:space="preserve">Tank ST Muzzle Brake — .750 — 1/2-28 — 30 cal — Self Timing</t>
  </si>
  <si>
    <t xml:space="preserve">104-0750-30CAL</t>
  </si>
  <si>
    <t xml:space="preserve">Tank ST Muzzle Brake — .875 — 5/8-24 — 6.5mm — Self Timing</t>
  </si>
  <si>
    <t xml:space="preserve">104-0875-6.5MM</t>
  </si>
  <si>
    <t xml:space="preserve">Tank ST Muzzle Brake — .875 — 5/8-24 — 30 cal — Self Timing</t>
  </si>
  <si>
    <t xml:space="preserve">104-0875-30CAL</t>
  </si>
  <si>
    <t xml:space="preserve">Tank ST Muzzle Brake — 1.0" — 5/8-24 — 6mm — Self Timing</t>
  </si>
  <si>
    <t xml:space="preserve">104-1000-6mm</t>
  </si>
  <si>
    <t xml:space="preserve">Tank ST Muzzle Brake — 1.0" — 5/8-24 — 6.5mm — Self Timing</t>
  </si>
  <si>
    <t xml:space="preserve">104-1000-6.5mm</t>
  </si>
  <si>
    <t xml:space="preserve">Tank ST Muzzle Brake — 1.0" — 5/8-24 — 7mm — Self Timing</t>
  </si>
  <si>
    <t xml:space="preserve">104-1000-7mm</t>
  </si>
  <si>
    <t xml:space="preserve">Tank ST Muzzle Brake — 1.0" — 5/8-24 — 30 cal — Self Timing</t>
  </si>
  <si>
    <t xml:space="preserve">104-1000-30CAL</t>
  </si>
  <si>
    <t xml:space="preserve">Backdraft Muzzle Brake — .750 — 1/2-28 — 6.5mm</t>
  </si>
  <si>
    <t xml:space="preserve">104B-0750-6.5MM</t>
  </si>
  <si>
    <t xml:space="preserve">Backdraft Muzzle Brake — .750 — 1/2-28 — 30 cal</t>
  </si>
  <si>
    <t xml:space="preserve">104B-0750-30CAL</t>
  </si>
  <si>
    <t xml:space="preserve">Backdraft Muzzle Brake — .875 — 5/8-24 — 6.5mm</t>
  </si>
  <si>
    <t xml:space="preserve">104B-0875-6.5MM</t>
  </si>
  <si>
    <t xml:space="preserve">Backdraft Muzzle Brake — .875 — 5/8-24 — 30 cal</t>
  </si>
  <si>
    <t xml:space="preserve">104B-0875-30CAL</t>
  </si>
  <si>
    <t xml:space="preserve">Backdraft Muzzle Brake — 1.0" — 5/8-24 — 6.5mm</t>
  </si>
  <si>
    <t xml:space="preserve">104B-1000-6.5MM</t>
  </si>
  <si>
    <t xml:space="preserve">Backdraft Muzzle Brake — 1.0" — 5/8-24 — 30 cal</t>
  </si>
  <si>
    <t xml:space="preserve">104B-1000-30CAL</t>
  </si>
  <si>
    <t xml:space="preserve">Updraft Muzzle Brake — 1.0" — 5/8-24 — 6.5 cal</t>
  </si>
  <si>
    <t xml:space="preserve">105U-1000-6.5MM</t>
  </si>
  <si>
    <t xml:space="preserve">Updraft Muzzle Brake — 1.0" — 5/8-24 — 30 cal</t>
  </si>
  <si>
    <t xml:space="preserve">105U-1000-30CAL</t>
  </si>
  <si>
    <t xml:space="preserve">Updraft Muzzle Brake — 1.20" — 5/8-24 — 6.5 cal</t>
  </si>
  <si>
    <t xml:space="preserve">105U-1200-6.5MM</t>
  </si>
  <si>
    <t xml:space="preserve">Updraft Muzzle Brake — 1.20" — 5/8-24 — 30 cal</t>
  </si>
  <si>
    <t xml:space="preserve">105U-1200-30CAL</t>
  </si>
  <si>
    <t xml:space="preserve">THREAD PROTECTORS</t>
  </si>
  <si>
    <t xml:space="preserve">.700" Thread Protector 1/2-28</t>
  </si>
  <si>
    <t xml:space="preserve">199-0700.1</t>
  </si>
  <si>
    <t xml:space="preserve">.700" Thread Protector 9/16-24</t>
  </si>
  <si>
    <t xml:space="preserve">199-0700.2</t>
  </si>
  <si>
    <t xml:space="preserve">.750" Thread Protector 1/2-28</t>
  </si>
  <si>
    <t xml:space="preserve">199-0750</t>
  </si>
  <si>
    <t xml:space="preserve">.750" Thread Protector 9/16-24</t>
  </si>
  <si>
    <t xml:space="preserve">199-0750.2</t>
  </si>
  <si>
    <t xml:space="preserve">.800" Thread Protector 1/2-28</t>
  </si>
  <si>
    <t xml:space="preserve">199-0800</t>
  </si>
  <si>
    <t xml:space="preserve">.800" Thread Protector 9/16-24</t>
  </si>
  <si>
    <t xml:space="preserve">199-0801</t>
  </si>
  <si>
    <t xml:space="preserve">.800" Thread Protector 5/8-24</t>
  </si>
  <si>
    <t xml:space="preserve">199-0802</t>
  </si>
  <si>
    <t xml:space="preserve">.840" Thread Protector 1/2-28</t>
  </si>
  <si>
    <t xml:space="preserve">199-0840</t>
  </si>
  <si>
    <t xml:space="preserve">.840" Thread Protector 5/8-24</t>
  </si>
  <si>
    <t xml:space="preserve">199-0841</t>
  </si>
  <si>
    <t xml:space="preserve">.870" Thread Protector 5/8-24</t>
  </si>
  <si>
    <t xml:space="preserve">199-0870</t>
  </si>
  <si>
    <t xml:space="preserve">.905" Thread Protector 5/8-24</t>
  </si>
  <si>
    <t xml:space="preserve">199-0905</t>
  </si>
  <si>
    <t xml:space="preserve">.930" Thread Protector 5/8-24</t>
  </si>
  <si>
    <t xml:space="preserve">199-0930</t>
  </si>
  <si>
    <t xml:space="preserve">.960" Thread Protector 5/8-24</t>
  </si>
  <si>
    <t xml:space="preserve">199-0960</t>
  </si>
  <si>
    <t xml:space="preserve">.975" Thread Protector 5/8-24</t>
  </si>
  <si>
    <t xml:space="preserve">199-0975</t>
  </si>
  <si>
    <t xml:space="preserve">.975" Thread Protector 1/2-28</t>
  </si>
  <si>
    <t xml:space="preserve">199-0975.1</t>
  </si>
  <si>
    <t xml:space="preserve">.975" Thread Protector 3/4-24</t>
  </si>
  <si>
    <t xml:space="preserve">199-0975.2</t>
  </si>
  <si>
    <t xml:space="preserve">1.125" Thread Protector 5/8-24 — Raw Stainless</t>
  </si>
  <si>
    <t xml:space="preserve">199-1125</t>
  </si>
  <si>
    <t xml:space="preserve">BIPOD PICATINNY RAILS</t>
  </si>
  <si>
    <t xml:space="preserve">2" BiPod Picatinny Rail Mount</t>
  </si>
  <si>
    <t xml:space="preserve">200-0001</t>
  </si>
  <si>
    <t xml:space="preserve">3.7" BiPod Picatinny Rail Mount</t>
  </si>
  <si>
    <t xml:space="preserve">200-0002</t>
  </si>
  <si>
    <t xml:space="preserve">4.5" BiPod Picatinny Rail Mount</t>
  </si>
  <si>
    <t xml:space="preserve">200-0003</t>
  </si>
  <si>
    <t xml:space="preserve">RING &amp; MOUNT CAPS</t>
  </si>
  <si>
    <t xml:space="preserve">30mm Standard Cap</t>
  </si>
  <si>
    <t xml:space="preserve">HP-901.02-0001</t>
  </si>
  <si>
    <t xml:space="preserve">30mm Off-set Level Cap</t>
  </si>
  <si>
    <t xml:space="preserve">HP-901.02-0003.1</t>
  </si>
  <si>
    <t xml:space="preserve">34mm Standard Cap</t>
  </si>
  <si>
    <t xml:space="preserve">HP-902.02-0001</t>
  </si>
  <si>
    <t xml:space="preserve">34mm Off-set Level Cap</t>
  </si>
  <si>
    <t xml:space="preserve">HP-902.02-0003.1</t>
  </si>
  <si>
    <t xml:space="preserve">35mm Standard Cap</t>
  </si>
  <si>
    <t xml:space="preserve">HP-903.02-0001</t>
  </si>
  <si>
    <t xml:space="preserve">35mm Off-set Level Cap</t>
  </si>
  <si>
    <t xml:space="preserve">HP-903.02-0003.1</t>
  </si>
  <si>
    <t xml:space="preserve">34mm Heavy Tactical Standard Cap</t>
  </si>
  <si>
    <t xml:space="preserve">HP-912.02-0001</t>
  </si>
  <si>
    <t xml:space="preserve">34mm Heavy Tactical Off-set Level Cap</t>
  </si>
  <si>
    <t xml:space="preserve">HP-912.02-0002.1</t>
  </si>
  <si>
    <t xml:space="preserve">35mm Heavy Tactical Standard Cap</t>
  </si>
  <si>
    <t xml:space="preserve">HP-913.02-0001</t>
  </si>
  <si>
    <t xml:space="preserve">35mm Heavy Tactical Off-set Level Cap</t>
  </si>
  <si>
    <t xml:space="preserve">HP-913.02-0002.1</t>
  </si>
  <si>
    <t xml:space="preserve">36mm Heavy Tactical Standard Cap</t>
  </si>
  <si>
    <t xml:space="preserve">HP-914.02-0001</t>
  </si>
  <si>
    <t xml:space="preserve">36mm Heavy Tactical Off-set Level Cap</t>
  </si>
  <si>
    <t xml:space="preserve">HP-914.02-0002.1</t>
  </si>
  <si>
    <t xml:space="preserve">LIMITED CONTACT BEDDING BLOCK SYSTEM</t>
  </si>
  <si>
    <t xml:space="preserve">LA Limited Contact Bedding System — RH</t>
  </si>
  <si>
    <t xml:space="preserve">399-0001.01</t>
  </si>
  <si>
    <t xml:space="preserve">LA Limited Contact Bedding System — LH</t>
  </si>
  <si>
    <t xml:space="preserve">399-0001.02</t>
  </si>
  <si>
    <t xml:space="preserve">SA Limited Contact Bedding System — RH</t>
  </si>
  <si>
    <t xml:space="preserve">399-0002.01</t>
  </si>
  <si>
    <t xml:space="preserve">SA Limited Contact Bedding System — LH</t>
  </si>
  <si>
    <t xml:space="preserve">399-0002.02</t>
  </si>
  <si>
    <t xml:space="preserve">MED Limited Contact Bedding System — RH</t>
  </si>
  <si>
    <t xml:space="preserve">399-0004.01</t>
  </si>
  <si>
    <t xml:space="preserve">MED Limited Contact Bedding System — LH</t>
  </si>
  <si>
    <t xml:space="preserve">399-0004.02</t>
  </si>
  <si>
    <t xml:space="preserve">ACTION SCREWS</t>
  </si>
  <si>
    <t xml:space="preserve">T27 BDL Action Screw Set (Raw Stainless)</t>
  </si>
  <si>
    <t xml:space="preserve">390-0004.1</t>
  </si>
  <si>
    <t xml:space="preserve">T27 BDL Action Screw Set (Melonite)</t>
  </si>
  <si>
    <t xml:space="preserve">390-0004.2</t>
  </si>
  <si>
    <t xml:space="preserve">LA M5 Enhanced Action Screw Set</t>
  </si>
  <si>
    <t xml:space="preserve">391-0001</t>
  </si>
  <si>
    <t xml:space="preserve">SA M5 Enhanced Action Screw Set</t>
  </si>
  <si>
    <t xml:space="preserve">391-0002</t>
  </si>
  <si>
    <t xml:space="preserve">MED M5 Enhanced Action Screw Set</t>
  </si>
  <si>
    <t xml:space="preserve">391-0003</t>
  </si>
  <si>
    <t xml:space="preserve">Tikka M6x1 Action Screw Set</t>
  </si>
  <si>
    <t xml:space="preserve">391-1001</t>
  </si>
  <si>
    <t xml:space="preserve">NIGHTFORCE OPTICS</t>
  </si>
  <si>
    <t xml:space="preserve">2023 MIL/GOV/LE Price List — Confidential</t>
  </si>
  <si>
    <t xml:space="preserve">RIFLESCOPES — NX8</t>
  </si>
  <si>
    <t xml:space="preserve">MIL/LE</t>
  </si>
  <si>
    <t xml:space="preserve">NX8 - 1-8x24 F1 - ZeroStop - .2 Mil - PTL - Capped Windage - FC-MIL</t>
  </si>
  <si>
    <t xml:space="preserve">C598</t>
  </si>
  <si>
    <t xml:space="preserve">NX8 - 1-8x24 F1 - .2 Mil - PTL - Capped E/W - FC-MIL (MIL/LE Excl)</t>
  </si>
  <si>
    <t xml:space="preserve">C599</t>
  </si>
  <si>
    <t xml:space="preserve">NX8 - 1-8X24 F1 - Capped E/W - .2 Mil-Radian - PTL - FC-DMX</t>
  </si>
  <si>
    <t xml:space="preserve">C654</t>
  </si>
  <si>
    <t xml:space="preserve">NX8 - 1-8X24 F1 - Capped E/W - .2 Mil-Radian - PTL - FC-DMX - DE</t>
  </si>
  <si>
    <t xml:space="preserve">C663</t>
  </si>
  <si>
    <t xml:space="preserve">NX8 - 1-8x24 F1 - ZeroStop - .5 MOA - PTL - Capped Windage - FC-MOA</t>
  </si>
  <si>
    <t xml:space="preserve">C600</t>
  </si>
  <si>
    <t xml:space="preserve">NX8 - 1-8x24 F1 - .5 MOA - PTL - Capped E/W - FC-MOA (MIL/LE Excl)</t>
  </si>
  <si>
    <t xml:space="preserve">C601</t>
  </si>
  <si>
    <t xml:space="preserve">NX8 - 2.5-20x50 F1 - ZeroStop - .250 MOA - DigIllum - PTL - MOAR</t>
  </si>
  <si>
    <t xml:space="preserve">C622</t>
  </si>
  <si>
    <t xml:space="preserve">NX8 - 2.5-20x50 F1 - ZeroStop - .1 Mil-Radian - DigIllum - PTL - Mil-C</t>
  </si>
  <si>
    <t xml:space="preserve">C623</t>
  </si>
  <si>
    <t xml:space="preserve">NX8 - 2.5-20x50 F1 - ZeroStop - .1 Mil-Radian - DigIllum - PTL - Mil-XT</t>
  </si>
  <si>
    <t xml:space="preserve">C632</t>
  </si>
  <si>
    <t xml:space="preserve">NX8 - 2.5-20x50 F1 - ZeroStop - .1 Mil-Radian - DigIllum - PTL - Mil-XT - DE</t>
  </si>
  <si>
    <t xml:space="preserve">C665</t>
  </si>
  <si>
    <t xml:space="preserve">NX8 - 2.5-20X50 F1 - ZeroStop - .1 Mil-Radian - DigIllum - PTL - TReMoR3</t>
  </si>
  <si>
    <t xml:space="preserve">C631</t>
  </si>
  <si>
    <t xml:space="preserve">NX8 - 2.5-20x50 F1 - ZeroStop - .1 Mil-Radian - DigIllum - PTL - TReMoR3 - DE</t>
  </si>
  <si>
    <t xml:space="preserve">C664</t>
  </si>
  <si>
    <t xml:space="preserve">NX8 - 4-32x50 F1 - ZeroStop - .250 MOA - DigIllum - PTL - MOAR</t>
  </si>
  <si>
    <t xml:space="preserve">C624</t>
  </si>
  <si>
    <t xml:space="preserve">NX8 - 4-32x50 F1 - ZeroStop - .1 Mil-Radian - DigIllum - PTL - Mil-C</t>
  </si>
  <si>
    <t xml:space="preserve">C625</t>
  </si>
  <si>
    <t xml:space="preserve">NX8 - 4-32x50 F1 - ZeroStop - .1 Mil-Radian - DigIllum - PTL - Mil-XT</t>
  </si>
  <si>
    <t xml:space="preserve">C634</t>
  </si>
  <si>
    <t xml:space="preserve">NX8 - 4-32x50 F1 - ZeroStop - .1 Mil-Radian - DigIllum - PTL - Mil-XT - DE</t>
  </si>
  <si>
    <t xml:space="preserve">C667</t>
  </si>
  <si>
    <t xml:space="preserve">NX8 - 4-32x50 F1 - ZeroStop - .1 Mil-Radian - DigIllum - PTL - TReMoR3</t>
  </si>
  <si>
    <t xml:space="preserve">C633</t>
  </si>
  <si>
    <t xml:space="preserve">NX8 - 4-32x50 F1 - ZeroStop - .1 Mil-Radian - DigIllum - PTL - TReMoR3 - DE</t>
  </si>
  <si>
    <t xml:space="preserve">C666</t>
  </si>
  <si>
    <t xml:space="preserve">NX8 - 2.5-20x50 SFP - ZeroStop - .250 MOA - DigIllum - PTL - MOAR-CF2</t>
  </si>
  <si>
    <t xml:space="preserve">C639</t>
  </si>
  <si>
    <t xml:space="preserve">NX8 - 2.5-20x50 SFP - ZeroStop - .1 Mil-Radian - DigIllum - PTL - Mil-CF2</t>
  </si>
  <si>
    <t xml:space="preserve">C638</t>
  </si>
  <si>
    <t xml:space="preserve">NX8 - 4-32x50 SFP - ZeroStop - .250 MOA - DigIllum - PTL - MOAR-CF2D</t>
  </si>
  <si>
    <t xml:space="preserve">C641</t>
  </si>
  <si>
    <t xml:space="preserve">NX8 - 4-32x50 SFP - ZeroStop - .1 Mil-Radian - DigIllum - PTL - Mil-CF2D</t>
  </si>
  <si>
    <t xml:space="preserve">C640</t>
  </si>
  <si>
    <t xml:space="preserve">KAUGER ARMS — 20% DEALER DISCOUNT | ✔ Marking variance — $200 one-time laser setup fee | In business since 1994 | OEM work for Bergara + major manufacturers</t>
  </si>
  <si>
    <t xml:space="preserve">shop.kaugerarms.com — Hazlehurst, GA — 912-375-5214 | adam.kauger@kaugerarms.com | Lead time: DAYS not weeks | Nitride: $50 MSRP → $40 your cost (20% off) | 2 sample actions incoming</t>
  </si>
  <si>
    <t xml:space="preserve">STANDARD ACTIONS</t>
  </si>
  <si>
    <t xml:space="preserve">Rem 700 footprint, 100% stainless steel</t>
  </si>
  <si>
    <t xml:space="preserve">COMPETITION / BENCHREST ACTIONS</t>
  </si>
  <si>
    <t xml:space="preserve">PRS/competition action</t>
  </si>
  <si>
    <t xml:space="preserve">CRS with integrated trigger hanger</t>
  </si>
  <si>
    <t xml:space="preserve">Dual Port Benchrest "BR II" (Available in Drop Port)</t>
  </si>
  <si>
    <t xml:space="preserve">Benchrest BR II, drop port option</t>
  </si>
  <si>
    <t xml:space="preserve">Lightweight elite SA</t>
  </si>
  <si>
    <t xml:space="preserve">Lightweight elite LA</t>
  </si>
  <si>
    <t xml:space="preserve">Dual Port Benchrest "BRIII" (Available in Drop Port)</t>
  </si>
  <si>
    <t xml:space="preserve">Top of benchrest line</t>
  </si>
  <si>
    <t xml:space="preserve">ADD-ONS &amp; FEES</t>
  </si>
  <si>
    <t xml:space="preserve">Item</t>
  </si>
  <si>
    <t xml:space="preserve">Nitride Finish</t>
  </si>
  <si>
    <t xml:space="preserve">$40 your cost — confirmed by phone</t>
  </si>
  <si>
    <t xml:space="preserve">Marking Variance Setup Fee (one-time laser engraving)</t>
  </si>
  <si>
    <t xml:space="preserve">No discount</t>
  </si>
  <si>
    <t xml:space="preserve">One-time fee — confirmed by phone with Adam Kauger</t>
  </si>
  <si>
    <t xml:space="preserve">BARTLEIN BARRELS — Quantity Discount Program (Steel Only) | Contact: Mark Buettgen — 262-677-1717 ext 4</t>
  </si>
  <si>
    <t xml:space="preserve">bartleinbarrels.com — Hartford, WI | Lead time: 9–12 months | Orders by phone 7am–4pm CST M–F | $15 price increase effective 6/4/2025</t>
  </si>
  <si>
    <t xml:space="preserve">DISCOUNT TIERS (STEEL ONLY): Barrels 1–9 = 0% | Barrels 10–24 = 5% | Barrels 25–99 = 10% | Barrels 100+ = 15% | Jump-start: 20-barrel order w/ 50% down = 10% immediately</t>
  </si>
  <si>
    <t xml:space="preserve">STEEL BARREL BLANKS (416R Stainless)</t>
  </si>
  <si>
    <t xml:space="preserve">5% (10–24 bbls)</t>
  </si>
  <si>
    <t xml:space="preserve">10% (25–99 / 20-bbl order)</t>
  </si>
  <si>
    <t xml:space="preserve">15% (100+ bbls)</t>
  </si>
  <si>
    <t xml:space="preserve">Standard Calibers .22RF–.338 (up to 28" finish)</t>
  </si>
  <si>
    <t xml:space="preserve">416R stainless, most common calibers</t>
  </si>
  <si>
    <t xml:space="preserve">Non-Standard Calibers (up to 28" finish)</t>
  </si>
  <si>
    <t xml:space="preserve">Calibers outside .22RF–.338</t>
  </si>
  <si>
    <t xml:space="preserve">Extra Length — Over 28" to 32" finish</t>
  </si>
  <si>
    <t xml:space="preserve">Per inch upcharge over 28"</t>
  </si>
  <si>
    <t xml:space="preserve">Extra Length — Over 32" to 34" finish</t>
  </si>
  <si>
    <t xml:space="preserve">Per inch upcharge over 32"</t>
  </si>
  <si>
    <t xml:space="preserve">Extra Length — Over 34" to 40" finish</t>
  </si>
  <si>
    <t xml:space="preserve">Per inch upcharge over 34"</t>
  </si>
  <si>
    <t xml:space="preserve">Oversize Diameter — Over 1.250" to 1.450"</t>
  </si>
  <si>
    <t xml:space="preserve">Diameter upcharge</t>
  </si>
  <si>
    <t xml:space="preserve">Oversize Diameter — 1.500" to 2.050"</t>
  </si>
  <si>
    <t xml:space="preserve">Oversize Diameter — Over 2.050" to 2.500"</t>
  </si>
  <si>
    <t xml:space="preserve">FLUTING ADD-ONS (STEEL)</t>
  </si>
  <si>
    <t xml:space="preserve">Standard Fluting — 6 flutes</t>
  </si>
  <si>
    <t xml:space="preserve">Standard diameter barrels</t>
  </si>
  <si>
    <t xml:space="preserve">Large Diameter Flutes — 6/8 flutes</t>
  </si>
  <si>
    <t xml:space="preserve">Large diameter barrels</t>
  </si>
  <si>
    <t xml:space="preserve">CARBON FIBER WRAPPED BARRELS — NO DISCOUNT (Signature item — full MSRP + shipping. Bartlein reserves CF discounts for 100+ bbl/yr dealers only.)</t>
  </si>
  <si>
    <t xml:space="preserve">Carbon Fiber Wrapped Barrel (select contours only)</t>
  </si>
  <si>
    <t xml:space="preserve">Signature item — no dealer discount. Full $815 + shipping. Discount only for 100+ bbl/yr dealers.</t>
  </si>
  <si>
    <t xml:space="preserve">⚠ Jump-start option: Place 20-barrel order w/ 50% down → qualify for 10% discount immediately (vs waiting to hit 25-bbl threshold). Balance due at completion.</t>
  </si>
  <si>
    <t xml:space="preserve">LONE PEAK ARMS — Now owned by MDT | ❌ NO marking variance at this time</t>
  </si>
  <si>
    <t xml:space="preserve">lonepeakarms.com | Mike Anderson — Sales &amp; Support — 435-799-5672 | Dealer pricing as of 01/01/2023 — verify current pricing | Tier 1 = 1–49/yr | Tier 2 = 50+/yr | ⚠ ~16 WEEKS lead time on most actions</t>
  </si>
  <si>
    <t xml:space="preserve">Model</t>
  </si>
  <si>
    <t xml:space="preserve">Tier 1 (1–49/yr)</t>
  </si>
  <si>
    <t xml:space="preserve">Tier 2 (50+/yr)</t>
  </si>
  <si>
    <t xml:space="preserve">Entry stainless — cheapest LPA action</t>
  </si>
  <si>
    <t xml:space="preserve">Titanium Razor</t>
  </si>
  <si>
    <t xml:space="preserve">Titanium Razor, .338 Lapua</t>
  </si>
  <si>
    <t xml:space="preserve">ACCESSORIES (ALL DEALERS — FLAT PRICING)</t>
  </si>
  <si>
    <t xml:space="preserve">Dealer Price</t>
  </si>
  <si>
    <t xml:space="preserve">Picatinny Rail</t>
  </si>
  <si>
    <t xml:space="preserve">Complete Spare Bolt</t>
  </si>
  <si>
    <t xml:space="preserve">Nitride (Stainless Actions)</t>
  </si>
  <si>
    <t xml:space="preserve">DLC (Ti Actions)</t>
  </si>
  <si>
    <t xml:space="preserve">Hawkins BDL Bottom Metal Kit</t>
  </si>
  <si>
    <t xml:space="preserve">Hawkins Hunter DBM w/ 1 Magazine</t>
  </si>
  <si>
    <t xml:space="preserve">Firing Pin Assembly</t>
  </si>
  <si>
    <t xml:space="preserve">Extractor Kit</t>
  </si>
  <si>
    <t xml:space="preserve">Ejector Kit</t>
  </si>
  <si>
    <t xml:space="preserve">Bolt Knob</t>
  </si>
  <si>
    <t xml:space="preserve">⚠ No marking variance available at this time per Lone Peak response. Re-evaluate after MDT acquisition settles — contact MDT directly for future variance discussions.</t>
  </si>
  <si>
    <t xml:space="preserve">macbros.com — Sturgis, SD — info@macbros.com | 605-720-0002 | Dale Mack, Co-Owner</t>
  </si>
  <si>
    <t xml:space="preserve">RIFLE ACTIONS</t>
  </si>
  <si>
    <t xml:space="preserve">Savings</t>
  </si>
  <si>
    <t xml:space="preserve">⚠ Dealer HIGHER than retail — verify</t>
  </si>
  <si>
    <t xml:space="preserve">REPLACEMENT BOLTS</t>
  </si>
  <si>
    <t xml:space="preserve">Rem 700 SA Replacement Bolt</t>
  </si>
  <si>
    <t xml:space="preserve">No dealer price listed</t>
  </si>
  <si>
    <t xml:space="preserve">Rem 700 LA Replacement Bolt</t>
  </si>
  <si>
    <t xml:space="preserve">SUPPRESSORS</t>
  </si>
  <si>
    <t xml:space="preserve">Vapor</t>
  </si>
  <si>
    <t xml:space="preserve">Zenith K 30 Cal</t>
  </si>
  <si>
    <t xml:space="preserve">Zenith 30 Cal</t>
  </si>
  <si>
    <t xml:space="preserve">Zenith L 30 Cal</t>
  </si>
  <si>
    <t xml:space="preserve">Zenith 6mm</t>
  </si>
  <si>
    <t xml:space="preserve">PRS-170 30 Cal</t>
  </si>
  <si>
    <t xml:space="preserve">MUZZLE ADAPTERS</t>
  </si>
  <si>
    <t xml:space="preserve">PRS 170 (1/2-28 Brake)</t>
  </si>
  <si>
    <t xml:space="preserve">PRS 170 (5/8-24 Brake)</t>
  </si>
  <si>
    <t xml:space="preserve">⚠ No marking variance — confirmed by Dale Mack, Co-Owner. Element SA/LA dealer prices appear higher than retail — verify before ordering.</t>
  </si>
  <si>
    <t xml:space="preserve">PIERCE ENGINEERING — ✔ Marking variance ($500 one-time setup) | No MOQ | Tier pricing based on 12-month spend</t>
  </si>
  <si>
    <t xml:space="preserve">pierceengineeringltd.com — Lansing, MI — jpierceltd@tds.net | (517) 321-5051 | Contact: Jim Pierce | Prices as of Jan 2026</t>
  </si>
  <si>
    <t xml:space="preserve">⚠ Tiers: Tier 1 = $500–$2,500 spent/yr | Tier 2 = $2,500–$10K/yr | Tier 3 = $10K+/yr | ANY action can be Cerakoted at NO extra charge</t>
  </si>
  <si>
    <t xml:space="preserve">Core SS — Stainless SA or LA</t>
  </si>
  <si>
    <t xml:space="preserve">Glass bead body / coated bolt / integral lug</t>
  </si>
  <si>
    <t xml:space="preserve">Core SS / Full Nitride — SA or LA</t>
  </si>
  <si>
    <t xml:space="preserve">Core Ti — Titanium SA or LA</t>
  </si>
  <si>
    <t xml:space="preserve">Armor coat DLC on bolt / integral lug</t>
  </si>
  <si>
    <t xml:space="preserve">Core Ti / Full DLC — Titanium SA or LA</t>
  </si>
  <si>
    <t xml:space="preserve">Fully coated / armor coat DLC / integral lug</t>
  </si>
  <si>
    <t xml:space="preserve">Core XL LA — Stainless / Nitride Std</t>
  </si>
  <si>
    <t xml:space="preserve">1.125x20 TPI tenon / Wyatt 3.85" or 4" box / Lapua BF</t>
  </si>
  <si>
    <t xml:space="preserve">Shadow — SA or LA / Full Nitride Std</t>
  </si>
  <si>
    <t xml:space="preserve">Black nitride / integral recoil lug std</t>
  </si>
  <si>
    <t xml:space="preserve">SKELE-Ti — SA or LA / Full DLC / Pinned Lug</t>
  </si>
  <si>
    <t xml:space="preserve">★ ULTRALIGHT ~16oz / Full DLC / .250 dual pin lug incl</t>
  </si>
  <si>
    <t xml:space="preserve">SKELE-Ti w/ Integral Lug / Full DLC</t>
  </si>
  <si>
    <t xml:space="preserve">★ ULTRALIGHT / Full DLC std / glass bead on body per request</t>
  </si>
  <si>
    <t xml:space="preserve">338 XL Repeater — Black Nitride</t>
  </si>
  <si>
    <t xml:space="preserve">1.400" diam / .750 bolt / Lapua BF only</t>
  </si>
  <si>
    <t xml:space="preserve">338 XL Single Shot — Black Nitride</t>
  </si>
  <si>
    <t xml:space="preserve">10X Single Shot — Black Nitride</t>
  </si>
  <si>
    <t xml:space="preserve">Lapua and Chey Tac BF</t>
  </si>
  <si>
    <t xml:space="preserve">10X-R Repeater — Black Nitride</t>
  </si>
  <si>
    <t xml:space="preserve">10X-T Titanium SS or Repeater / Full DLC</t>
  </si>
  <si>
    <t xml:space="preserve">Full DLC std / Lapua / Chey Tac BF</t>
  </si>
  <si>
    <t xml:space="preserve">Model 20X RH Only</t>
  </si>
  <si>
    <t xml:space="preserve">Chey Tac / .710 Vestal / .810 BF available</t>
  </si>
  <si>
    <t xml:space="preserve">MI Multiflat Comp — Stainless w/ Scope Rail</t>
  </si>
  <si>
    <t xml:space="preserve">20 or 30 MOA stainless rail included</t>
  </si>
  <si>
    <t xml:space="preserve">FTR Competition — Stainless w/ 20 MOA Rail</t>
  </si>
  <si>
    <t xml:space="preserve">Aluminum scope rail 20 MOA included</t>
  </si>
  <si>
    <t xml:space="preserve">FTR Competition — Titanium w/ 20 MOA Rail</t>
  </si>
  <si>
    <t xml:space="preserve">Model TG — Tube Gun Single Shot</t>
  </si>
  <si>
    <t xml:space="preserve">Std nitride finish / Ti add $300</t>
  </si>
  <si>
    <t xml:space="preserve">Model TG-R — Tube Gun Repeater</t>
  </si>
  <si>
    <t xml:space="preserve">Model Core-ML — Muzzle Loader SS (Ti +$300)</t>
  </si>
  <si>
    <t xml:space="preserve">Slotted BF for Henkins module std</t>
  </si>
  <si>
    <t xml:space="preserve">ACCESSORIES</t>
  </si>
  <si>
    <t xml:space="preserve">Scope Rail — 7075 Anodized Alum 0/10/20/30 MOA</t>
  </si>
  <si>
    <t xml:space="preserve">Any 1.350" diam action</t>
  </si>
  <si>
    <t xml:space="preserve">Stainless or Ti Scope Rails</t>
  </si>
  <si>
    <t xml:space="preserve">Price TBD — call Jim</t>
  </si>
  <si>
    <t xml:space="preserve">2-Piece Lightweight Pic Rail — 20 MOA only</t>
  </si>
  <si>
    <t xml:space="preserve">Black anodize</t>
  </si>
  <si>
    <t xml:space="preserve">10X Scope Rail (30/40/50 MOA)</t>
  </si>
  <si>
    <t xml:space="preserve">20X Scope Rail (30/50/70 MOA)</t>
  </si>
  <si>
    <t xml:space="preserve">Std Actions Rear Entry Action Wrench</t>
  </si>
  <si>
    <t xml:space="preserve">10X Rear Entry Action Wrench</t>
  </si>
  <si>
    <t xml:space="preserve">20X Rear Entry Action Wrench</t>
  </si>
  <si>
    <t xml:space="preserve">20X Trigger Guard with Pillars</t>
  </si>
  <si>
    <t xml:space="preserve">Replacement Spare Bolts — 1.350" Actions</t>
  </si>
  <si>
    <t xml:space="preserve">.223/.308/Mag/Lapua — new one piece style</t>
  </si>
  <si>
    <t xml:space="preserve">10X Replacement Spare Bolts Complete</t>
  </si>
  <si>
    <t xml:space="preserve">20X Replacement Spare Bolts Complete</t>
  </si>
  <si>
    <t xml:space="preserve">Mini M16 Extractor Kit</t>
  </si>
  <si>
    <t xml:space="preserve">10X or 20X Extractor Kit</t>
  </si>
  <si>
    <t xml:space="preserve">Ejector Plunger Kit</t>
  </si>
  <si>
    <t xml:space="preserve">Bolt Stop Kit — Any Action</t>
  </si>
  <si>
    <t xml:space="preserve">Replacement Handle with Knob (one piece)</t>
  </si>
  <si>
    <t xml:space="preserve">Firing Pin Complete — Std Actions SA or LA</t>
  </si>
  <si>
    <t xml:space="preserve">Firing Pin Complete 10X</t>
  </si>
  <si>
    <t xml:space="preserve">Firing Pin Complete 20X</t>
  </si>
  <si>
    <t xml:space="preserve">SERVICE PRICES (FLAT RATE)</t>
  </si>
  <si>
    <t xml:space="preserve">Service</t>
  </si>
  <si>
    <t xml:space="preserve">Price</t>
  </si>
  <si>
    <t xml:space="preserve">Thread muzzle end of barrel</t>
  </si>
  <si>
    <t xml:space="preserve">Thread muzzle end / cut and recrown</t>
  </si>
  <si>
    <t xml:space="preserve">Thread muzzle end / teardown and reassemble rifle</t>
  </si>
  <si>
    <t xml:space="preserve">+$30 for cut and crown if needed</t>
  </si>
  <si>
    <t xml:space="preserve">Chamber and fit barrel to action</t>
  </si>
  <si>
    <t xml:space="preserve">Match grade barrel starting at $425</t>
  </si>
  <si>
    <t xml:space="preserve">Chamber and fit — ultra mags and Lapua</t>
  </si>
  <si>
    <t xml:space="preserve">Chamber and fit — Cheytac and larger</t>
  </si>
  <si>
    <t xml:space="preserve">Starting price</t>
  </si>
  <si>
    <t xml:space="preserve">Thread and install tuner</t>
  </si>
  <si>
    <t xml:space="preserve">Cut and crown barrel</t>
  </si>
  <si>
    <t xml:space="preserve">Blueprint Rem 700 action</t>
  </si>
  <si>
    <t xml:space="preserve">Recut face/lugs/threads/bolt face</t>
  </si>
  <si>
    <t xml:space="preserve">Install M16 extractor (incl extractor)</t>
  </si>
  <si>
    <t xml:space="preserve">+$35 for bolt fluting</t>
  </si>
  <si>
    <t xml:space="preserve">Bolt fluting</t>
  </si>
  <si>
    <t xml:space="preserve">Full pillar bedding</t>
  </si>
  <si>
    <t xml:space="preserve">Skim bedding</t>
  </si>
  <si>
    <t xml:space="preserve">Cerakote single color — action</t>
  </si>
  <si>
    <t xml:space="preserve">+$40 special colors</t>
  </si>
  <si>
    <t xml:space="preserve">Cerakote single color — full rifle</t>
  </si>
  <si>
    <t xml:space="preserve">Starting price / +$40 special colors</t>
  </si>
  <si>
    <t xml:space="preserve">Cerakote barrel</t>
  </si>
  <si>
    <t xml:space="preserve">+$40 non-standard color</t>
  </si>
  <si>
    <t xml:space="preserve">Fit barrel channel</t>
  </si>
  <si>
    <t xml:space="preserve">Per hour</t>
  </si>
  <si>
    <t xml:space="preserve">Shop rate — non-standard jobs</t>
  </si>
  <si>
    <t xml:space="preserve">MARKING VARIANCE — ONE-TIME SETUP FEES</t>
  </si>
  <si>
    <t xml:space="preserve">Marking Variance Setup (logo + serial # CAM programming)</t>
  </si>
  <si>
    <t xml:space="preserve">One-time fee per Jim Pierce — no MOQ required</t>
  </si>
  <si>
    <t xml:space="preserve">XLR INDUSTRIES — ✔ Dealer Account Active | 30% off MSRP lifetime after $5,000 initial purchase | xlrindustries.com</t>
  </si>
  <si>
    <t xml:space="preserve">All chassis machined in USA | Contact: xlrindustries.com | 30% dealer discount confirmed</t>
  </si>
  <si>
    <t xml:space="preserve">Dealer (30% off)</t>
  </si>
  <si>
    <t xml:space="preserve">Material</t>
  </si>
  <si>
    <t xml:space="preserve">Compatibility</t>
  </si>
  <si>
    <t xml:space="preserve">ATOM Chassis</t>
  </si>
  <si>
    <t xml:space="preserve">Aluminum</t>
  </si>
  <si>
    <t xml:space="preserve">Rem 700 SA/LA, Tikka, Savage, Howa</t>
  </si>
  <si>
    <t xml:space="preserve">Compact/ultralight | Arca-Swiss forend | Bubble level | Mountain/SBR builds | Configured: Folder + Multicam + Smoke Grip</t>
  </si>
  <si>
    <t xml:space="preserve">ATOM MG Chassis (Magnesium)</t>
  </si>
  <si>
    <t xml:space="preserve">Magnesium</t>
  </si>
  <si>
    <t xml:space="preserve">Rem 700 SA/LA</t>
  </si>
  <si>
    <t xml:space="preserve">Lightest chassis available | Packable | Modular | Verify MSRP on site | Configured: Folder + Multicam + Smoke Grip</t>
  </si>
  <si>
    <t xml:space="preserve">Element 4.0 Chassis</t>
  </si>
  <si>
    <t xml:space="preserve">Rem 700 SA/LA, Savage, Howa, Tikka SA, CZ 457</t>
  </si>
  <si>
    <t xml:space="preserve">Most versatile | Adj LOP/cheek | Arca-Swiss | Bubble level | Configured: Multicam + Folder + Smoke Grip</t>
  </si>
  <si>
    <t xml:space="preserve">Element 4.0 MG Chassis (Magnesium)</t>
  </si>
  <si>
    <t xml:space="preserve">Lightweight magnesium Element | Verify MSRP on site | Configured: Multicam + Folder + Smoke Grip</t>
  </si>
  <si>
    <t xml:space="preserve">Envy Pro 2 Chassis</t>
  </si>
  <si>
    <t xml:space="preserve">NEW 2026 competition chassis | Verify MSRP on site</t>
  </si>
  <si>
    <t xml:space="preserve">Hawkins XLR DBM Upgrade (Bottom Metal)</t>
  </si>
  <si>
    <t xml:space="preserve">Steel</t>
  </si>
  <si>
    <t xml:space="preserve">XLR Element/ATOM chassis</t>
  </si>
  <si>
    <t xml:space="preserve">Drop-in DBM upgrade for XLR chassis — Hawkins dealer pricing 30% off</t>
  </si>
  <si>
    <t xml:space="preserve">BADWRX — WEBSITE CONFIGURATION DATA  ·  For Web Developer Use</t>
  </si>
  <si>
    <t xml:space="preserve">All pricing, specs, options, and package data for site build  ·  badwrx.com</t>
  </si>
  <si>
    <t xml:space="preserve">SECTION 1 — RIFLE LINEUP OVERVIEW</t>
  </si>
  <si>
    <t xml:space="preserve">Six platforms. One standard. All built to order.</t>
  </si>
  <si>
    <t xml:space="preserve">Tagline</t>
  </si>
  <si>
    <t xml:space="preserve">Platform</t>
  </si>
  <si>
    <t xml:space="preserve">Caliber Family</t>
  </si>
  <si>
    <t xml:space="preserve">Primary Use</t>
  </si>
  <si>
    <t xml:space="preserve">Page Slug</t>
  </si>
  <si>
    <t xml:space="preserve">The folder. Disappears into your pack.</t>
  </si>
  <si>
    <t xml:space="preserve">BADWRX Primus</t>
  </si>
  <si>
    <t xml:space="preserve">22" Carbon Wrapped</t>
  </si>
  <si>
    <t xml:space="preserve">MDT HNT26 Folding Chassis</t>
  </si>
  <si>
    <t xml:space="preserve">6.5/7 PRC family</t>
  </si>
  <si>
    <t xml:space="preserve">Ultralight Backcountry</t>
  </si>
  <si>
    <t xml:space="preserve">/specter</t>
  </si>
  <si>
    <t xml:space="preserve">BADWRX Reaper</t>
  </si>
  <si>
    <t xml:space="preserve">Maximum adjustability. Zero concessions.</t>
  </si>
  <si>
    <t xml:space="preserve">MDT HNT26 Chassis</t>
  </si>
  <si>
    <t xml:space="preserve">Precision / Hunting</t>
  </si>
  <si>
    <t xml:space="preserve">/reaper</t>
  </si>
  <si>
    <t xml:space="preserve">BADWRX Imperium</t>
  </si>
  <si>
    <t xml:space="preserve">Fixed. Fast. Proven.</t>
  </si>
  <si>
    <t xml:space="preserve">Manners Pro Hunter Adj.</t>
  </si>
  <si>
    <t xml:space="preserve">Mountain Hunting</t>
  </si>
  <si>
    <t xml:space="preserve">/imperium</t>
  </si>
  <si>
    <t xml:space="preserve">Built to BADWRX standards. No exceptions.</t>
  </si>
  <si>
    <t xml:space="preserve">BADWRX Invictus X</t>
  </si>
  <si>
    <t xml:space="preserve">Carbon Wrapped</t>
  </si>
  <si>
    <t xml:space="preserve">Entry Precision</t>
  </si>
  <si>
    <t xml:space="preserve">/invictus</t>
  </si>
  <si>
    <t xml:space="preserve">BADWRX Sentinel</t>
  </si>
  <si>
    <t xml:space="preserve">Built for when reliability is not optional.</t>
  </si>
  <si>
    <t xml:space="preserve">CRF Action</t>
  </si>
  <si>
    <t xml:space="preserve">Short Carbon Wrapped</t>
  </si>
  <si>
    <t xml:space="preserve">300/375 family</t>
  </si>
  <si>
    <t xml:space="preserve">Dangerous Game / Guide</t>
  </si>
  <si>
    <t xml:space="preserve">/sentinel</t>
  </si>
  <si>
    <t xml:space="preserve">BADWRX G.O.A.T.</t>
  </si>
  <si>
    <t xml:space="preserve">Maximum capability. Minimum footprint.</t>
  </si>
  <si>
    <t xml:space="preserve">Lone Peak Fuzion Ti</t>
  </si>
  <si>
    <t xml:space="preserve">16.5" Carbon Six</t>
  </si>
  <si>
    <t xml:space="preserve">XLR ATOM Folding</t>
  </si>
  <si>
    <t xml:space="preserve">7mm BC</t>
  </si>
  <si>
    <t xml:space="preserve">Compact Ti Mountain</t>
  </si>
  <si>
    <t xml:space="preserve">/goat</t>
  </si>
  <si>
    <t xml:space="preserve">Titanium action</t>
  </si>
  <si>
    <t xml:space="preserve">SECTION 2 — RIFLE SPECIFICATIONS</t>
  </si>
  <si>
    <t xml:space="preserve">  BADWRX Specter  —  The folder. Disappears into your pack. Reappears when it counts.</t>
  </si>
  <si>
    <t xml:space="preserve">Component</t>
  </si>
  <si>
    <t xml:space="preserve">Specification</t>
  </si>
  <si>
    <t xml:space="preserve">Chassis</t>
  </si>
  <si>
    <t xml:space="preserve">MDT HNT26 Folding</t>
  </si>
  <si>
    <t xml:space="preserve">TriggerTech Special</t>
  </si>
  <si>
    <t xml:space="preserve">Muzzle Brake</t>
  </si>
  <si>
    <t xml:space="preserve">SRS Titanium</t>
  </si>
  <si>
    <t xml:space="preserve">Bottom Metal</t>
  </si>
  <si>
    <t xml:space="preserve">MDT Integrated</t>
  </si>
  <si>
    <t xml:space="preserve">Weight</t>
  </si>
  <si>
    <t xml:space="preserve">Finish</t>
  </si>
  <si>
    <t xml:space="preserve">Custom Cerakote</t>
  </si>
  <si>
    <t xml:space="preserve">your specification</t>
  </si>
  <si>
    <t xml:space="preserve">Available Calibers:  6.5 Creedmoor · 6.5 PRC · 7 PRC · 300 PRC · Additional calibers on request</t>
  </si>
  <si>
    <t xml:space="preserve">  BADWRX Reaper  —  Maximum adjustability. Zero concessions.</t>
  </si>
  <si>
    <t xml:space="preserve">22" Carbon Wrapped Sendero</t>
  </si>
  <si>
    <t xml:space="preserve">MDT HNT26</t>
  </si>
  <si>
    <t xml:space="preserve">  BADWRX Imperium  —  Fixed. Fast. Proven.</t>
  </si>
  <si>
    <t xml:space="preserve">Stock</t>
  </si>
  <si>
    <t xml:space="preserve">Manners Pro Hunter Adjustable</t>
  </si>
  <si>
    <t xml:space="preserve">Hawkins M5 DBM</t>
  </si>
  <si>
    <t xml:space="preserve">  BADWRX Invictus  —  Built to BADWRX standards. No exceptions.</t>
  </si>
  <si>
    <t xml:space="preserve">  BADWRX Sentinel  —  Built for when reliability is not optional.</t>
  </si>
  <si>
    <t xml:space="preserve">CRF (Controlled Round Feed)</t>
  </si>
  <si>
    <t xml:space="preserve">Available Calibers:  300 PRC · 375 Ruger · 375 H&amp;H · Additional calibers on request</t>
  </si>
  <si>
    <t xml:space="preserve">  BADWRX G.O.A.T.  —  Maximum capability. Minimum footprint.</t>
  </si>
  <si>
    <t xml:space="preserve">Lone Peak Fuzion Ti (Titanium)</t>
  </si>
  <si>
    <t xml:space="preserve">16.5" Carbon Six — 7mm Backcountry</t>
  </si>
  <si>
    <t xml:space="preserve">XLR Integrated DBM</t>
  </si>
  <si>
    <t xml:space="preserve">Hawkins Precision</t>
  </si>
  <si>
    <t xml:space="preserve">Available Calibers:  7mm Backcountry · Additional calibers on request</t>
  </si>
  <si>
    <t xml:space="preserve">SECTION 3 — STOCK COLOR OPTIONS</t>
  </si>
  <si>
    <t xml:space="preserve">Available on all platforms · Custom Cerakote and paint · All colors apply to stock, action, and barrel as a complete system</t>
  </si>
  <si>
    <t xml:space="preserve">Color Code</t>
  </si>
  <si>
    <t xml:space="preserve">Color Name</t>
  </si>
  <si>
    <t xml:space="preserve">Color Description</t>
  </si>
  <si>
    <t xml:space="preserve">Best For</t>
  </si>
  <si>
    <t xml:space="preserve">Photo Asset</t>
  </si>
  <si>
    <t xml:space="preserve">Hex / Reference</t>
  </si>
  <si>
    <t xml:space="preserve">BMCV</t>
  </si>
  <si>
    <t xml:space="preserve">Vias Multicam Black</t>
  </si>
  <si>
    <t xml:space="preserve">Black / Dark Gray / Tan</t>
  </si>
  <si>
    <t xml:space="preserve">Tactical / Hunting crossover</t>
  </si>
  <si>
    <t xml:space="preserve">[photo TBD]</t>
  </si>
  <si>
    <t xml:space="preserve">[hex TBD]</t>
  </si>
  <si>
    <t xml:space="preserve">Option 2</t>
  </si>
  <si>
    <t xml:space="preserve">Alpine Ghost</t>
  </si>
  <si>
    <t xml:space="preserve">White / Gray / Sage</t>
  </si>
  <si>
    <t xml:space="preserve">High alpine / snow country</t>
  </si>
  <si>
    <t xml:space="preserve">Option 3</t>
  </si>
  <si>
    <t xml:space="preserve">Ridgeline Bronze</t>
  </si>
  <si>
    <t xml:space="preserve">FDE / Bronze / Dark Brown</t>
  </si>
  <si>
    <t xml:space="preserve">Western hunting / desert</t>
  </si>
  <si>
    <t xml:space="preserve">Option 4</t>
  </si>
  <si>
    <t xml:space="preserve">Midnight Operator</t>
  </si>
  <si>
    <t xml:space="preserve">Flat Black / Matte</t>
  </si>
  <si>
    <t xml:space="preserve">Tactical / Low-vis</t>
  </si>
  <si>
    <t xml:space="preserve">Option 5</t>
  </si>
  <si>
    <t xml:space="preserve">Tungsten Mountain</t>
  </si>
  <si>
    <t xml:space="preserve">Tungsten / Charcoal</t>
  </si>
  <si>
    <t xml:space="preserve">Versatile / All-terrain</t>
  </si>
  <si>
    <t xml:space="preserve">Option 6</t>
  </si>
  <si>
    <t xml:space="preserve">OD Backcountry</t>
  </si>
  <si>
    <t xml:space="preserve">OD Green / Dark Earth</t>
  </si>
  <si>
    <t xml:space="preserve">Classic hunting / military</t>
  </si>
  <si>
    <t xml:space="preserve">Option 7</t>
  </si>
  <si>
    <t xml:space="preserve">Custom</t>
  </si>
  <si>
    <t xml:space="preserve">Customer specified</t>
  </si>
  <si>
    <t xml:space="preserve">Any color — contact us</t>
  </si>
  <si>
    <t xml:space="preserve">Lead time may vary</t>
  </si>
  <si>
    <t xml:space="preserve">  Color Availability Matrix — by Platform</t>
  </si>
  <si>
    <t xml:space="preserve">Color</t>
  </si>
  <si>
    <t xml:space="preserve">Specter</t>
  </si>
  <si>
    <t xml:space="preserve">Reaper</t>
  </si>
  <si>
    <t xml:space="preserve">Imperium</t>
  </si>
  <si>
    <t xml:space="preserve">Invictus</t>
  </si>
  <si>
    <t xml:space="preserve">Sentinel</t>
  </si>
  <si>
    <t xml:space="preserve">G.O.A.T.</t>
  </si>
  <si>
    <t xml:space="preserve">BMCV — Vias Multicam Black</t>
  </si>
  <si>
    <t xml:space="preserve">✔</t>
  </si>
  <si>
    <t xml:space="preserve">Option 2 — Alpine Ghost</t>
  </si>
  <si>
    <t xml:space="preserve">Option 3 — Ridgeline Bronze</t>
  </si>
  <si>
    <t xml:space="preserve">Option 4 — Midnight Operator</t>
  </si>
  <si>
    <t xml:space="preserve">Option 5 — Tungsten Mountain</t>
  </si>
  <si>
    <t xml:space="preserve">Option 6 — OD Backcountry</t>
  </si>
  <si>
    <t xml:space="preserve">Option 7 — Custom</t>
  </si>
  <si>
    <t xml:space="preserve">SECTION 4 — PACKAGES &amp; OPTIONS</t>
  </si>
  <si>
    <t xml:space="preserve">  OPTICS PACKAGE — Nightforce + Hawkins Rings</t>
  </si>
  <si>
    <t xml:space="preserve">Brand</t>
  </si>
  <si>
    <t xml:space="preserve">Magnification</t>
  </si>
  <si>
    <t xml:space="preserve">Focal Plane</t>
  </si>
  <si>
    <t xml:space="preserve">Reticle</t>
  </si>
  <si>
    <t xml:space="preserve">Tube</t>
  </si>
  <si>
    <t xml:space="preserve">Available On</t>
  </si>
  <si>
    <t xml:space="preserve">NX8 Series</t>
  </si>
  <si>
    <t xml:space="preserve">Nightforce</t>
  </si>
  <si>
    <t xml:space="preserve">NX8</t>
  </si>
  <si>
    <t xml:space="preserve">2.5-20x50</t>
  </si>
  <si>
    <t xml:space="preserve">FFP (F1)</t>
  </si>
  <si>
    <t xml:space="preserve">MIL-XT</t>
  </si>
  <si>
    <t xml:space="preserve">30mm</t>
  </si>
  <si>
    <t xml:space="preserve">$1,950</t>
  </si>
  <si>
    <t xml:space="preserve">All platforms</t>
  </si>
  <si>
    <t xml:space="preserve">TReMoR3</t>
  </si>
  <si>
    <t xml:space="preserve">$2,200</t>
  </si>
  <si>
    <t xml:space="preserve">4-32x50</t>
  </si>
  <si>
    <t xml:space="preserve">$2,150</t>
  </si>
  <si>
    <t xml:space="preserve">$2,400</t>
  </si>
  <si>
    <t xml:space="preserve">MIL-XT Dark Earth</t>
  </si>
  <si>
    <t xml:space="preserve">$2,250</t>
  </si>
  <si>
    <t xml:space="preserve">NX6 Series — New for 2026</t>
  </si>
  <si>
    <t xml:space="preserve">NX6</t>
  </si>
  <si>
    <t xml:space="preserve">1-6x24</t>
  </si>
  <si>
    <t xml:space="preserve">FC-DMx</t>
  </si>
  <si>
    <t xml:space="preserve">$1,800</t>
  </si>
  <si>
    <t xml:space="preserve">New 2026</t>
  </si>
  <si>
    <t xml:space="preserve">2-12x42</t>
  </si>
  <si>
    <t xml:space="preserve">FC-MRx</t>
  </si>
  <si>
    <t xml:space="preserve">4-24x50</t>
  </si>
  <si>
    <t xml:space="preserve">MOA-C / MIL-C</t>
  </si>
  <si>
    <t xml:space="preserve">$2,000</t>
  </si>
  <si>
    <t xml:space="preserve">5-30x56</t>
  </si>
  <si>
    <t xml:space="preserve">MIL-C</t>
  </si>
  <si>
    <t xml:space="preserve">$2,100</t>
  </si>
  <si>
    <t xml:space="preserve">6-36x56</t>
  </si>
  <si>
    <t xml:space="preserve">Rings — Included with all Optics Package configurations</t>
  </si>
  <si>
    <t xml:space="preserve">ULT Rings</t>
  </si>
  <si>
    <t xml:space="preserve">N/A w/ Level Cap</t>
  </si>
  <si>
    <t xml:space="preserve">$196 MSRP</t>
  </si>
  <si>
    <t xml:space="preserve">Standard on all builds</t>
  </si>
  <si>
    <t xml:space="preserve">  BASECAMP PACKAGE</t>
  </si>
  <si>
    <t xml:space="preserve">Function</t>
  </si>
  <si>
    <t xml:space="preserve">Laser-Cut BADWRX Hard Case</t>
  </si>
  <si>
    <t xml:space="preserve">Custom laser-cut foam insert fitted to your exact rifle config</t>
  </si>
  <si>
    <t xml:space="preserve">TSA / Pelican Vault</t>
  </si>
  <si>
    <t xml:space="preserve">Protection / Transport</t>
  </si>
  <si>
    <t xml:space="preserve">Garmin Xero Chronograph</t>
  </si>
  <si>
    <t xml:space="preserve">Wireless, compact, accurate velocity measurement</t>
  </si>
  <si>
    <t xml:space="preserve">Garmin</t>
  </si>
  <si>
    <t xml:space="preserve">Ballistic Verification</t>
  </si>
  <si>
    <t xml:space="preserve">Fix It Sticks Field Tool Kit</t>
  </si>
  <si>
    <t xml:space="preserve">Torque driver system — complete rifle maintenance in the field</t>
  </si>
  <si>
    <t xml:space="preserve">Fix It Sticks</t>
  </si>
  <si>
    <t xml:space="preserve">Field Maintenance</t>
  </si>
  <si>
    <t xml:space="preserve">  BALLISTIC PACKAGE</t>
  </si>
  <si>
    <t xml:space="preserve">Deliverable</t>
  </si>
  <si>
    <t xml:space="preserve">Detail</t>
  </si>
  <si>
    <t xml:space="preserve">Live Fire to 1,000m</t>
  </si>
  <si>
    <t xml:space="preserve">Real impacts, real data — not a calculator estimate</t>
  </si>
  <si>
    <t xml:space="preserve">Velocity Data Collection</t>
  </si>
  <si>
    <t xml:space="preserve">Correct for actual muzzle velocity, not the box</t>
  </si>
  <si>
    <t xml:space="preserve">Ballistic Solution Build</t>
  </si>
  <si>
    <t xml:space="preserve">Complete solution for your load, rifle, and barrel</t>
  </si>
  <si>
    <t xml:space="preserve">DSF / Density Alt. Corrections</t>
  </si>
  <si>
    <t xml:space="preserve">Corrected for your hunt location and season</t>
  </si>
  <si>
    <t xml:space="preserve">Custom Laser Engraved Turrets</t>
  </si>
  <si>
    <t xml:space="preserve">Drop data engraved on your scope turrets — no cards, no guessing</t>
  </si>
  <si>
    <t xml:space="preserve">SECTION 5 — CALIBER OPTIONS BY PLATFORM</t>
  </si>
  <si>
    <t xml:space="preserve">6.5 Creedmoor</t>
  </si>
  <si>
    <t xml:space="preserve">6.5 PRC</t>
  </si>
  <si>
    <t xml:space="preserve">300 PRC</t>
  </si>
  <si>
    <t xml:space="preserve">7mm Backcountry</t>
  </si>
  <si>
    <t xml:space="preserve">Long action short barrel</t>
  </si>
  <si>
    <t xml:space="preserve">375 Ruger</t>
  </si>
  <si>
    <t xml:space="preserve">Dangerous game</t>
  </si>
  <si>
    <t xml:space="preserve">375 H&amp;H</t>
  </si>
  <si>
    <t xml:space="preserve">Other / Custom</t>
  </si>
  <si>
    <t xml:space="preserve">Contact us</t>
  </si>
  <si>
    <t xml:space="preserve">SECTION 6 — CONTACT / QUOTE FORM FIELDS</t>
  </si>
  <si>
    <t xml:space="preserve">Field Name</t>
  </si>
  <si>
    <t xml:space="preserve">Field Type</t>
  </si>
  <si>
    <t xml:space="preserve">Required</t>
  </si>
  <si>
    <t xml:space="preserve">Options / Placeholder</t>
  </si>
  <si>
    <t xml:space="preserve">First Name</t>
  </si>
  <si>
    <t xml:space="preserve">Text input</t>
  </si>
  <si>
    <t xml:space="preserve">Last Name</t>
  </si>
  <si>
    <t xml:space="preserve">Email Address</t>
  </si>
  <si>
    <t xml:space="preserve">Email input</t>
  </si>
  <si>
    <t xml:space="preserve">Phone Number</t>
  </si>
  <si>
    <t xml:space="preserve">Tel input</t>
  </si>
  <si>
    <t xml:space="preserve">Platform of Interest</t>
  </si>
  <si>
    <t xml:space="preserve">Dropdown</t>
  </si>
  <si>
    <t xml:space="preserve">Specter / Reaper / Imperium / Invictus / Sentinel / G.O.A.T. / Not Sure Yet</t>
  </si>
  <si>
    <t xml:space="preserve">Caliber of Interest</t>
  </si>
  <si>
    <t xml:space="preserve">No</t>
  </si>
  <si>
    <t xml:space="preserve">6.5 Creedmoor / 6.5 PRC / 7 PRC / 300 PRC / 7mm BC / 375 Ruger / 375 H&amp;H / Other</t>
  </si>
  <si>
    <t xml:space="preserve">Intended Use</t>
  </si>
  <si>
    <t xml:space="preserve">Mountain Hunting / Dangerous Game / Precision Shooting / Other</t>
  </si>
  <si>
    <t xml:space="preserve">Optics Package?</t>
  </si>
  <si>
    <t xml:space="preserve">Radio</t>
  </si>
  <si>
    <t xml:space="preserve">Yes / No / Tell me more</t>
  </si>
  <si>
    <t xml:space="preserve">Basecamp Package?</t>
  </si>
  <si>
    <t xml:space="preserve">Ballistic Package?</t>
  </si>
  <si>
    <t xml:space="preserve">Additional Details</t>
  </si>
  <si>
    <t xml:space="preserve">Textarea</t>
  </si>
  <si>
    <t xml:space="preserve">Custom requests, colors, calibers, timeline...</t>
  </si>
  <si>
    <t xml:space="preserve">Submit Button</t>
  </si>
  <si>
    <t xml:space="preserve">Button</t>
  </si>
  <si>
    <t xml:space="preserve">Send My Build Request</t>
  </si>
  <si>
    <t xml:space="preserve">SECTION 7 — RIFLE PAGE DESCRIPTIONS &amp; PACKAGE COPY</t>
  </si>
  <si>
    <t xml:space="preserve">  RIFLE PAGE BODY COPY</t>
  </si>
  <si>
    <t xml:space="preserve">The BADWRX Specter is built around one mission — getting a precision rifle deep into backcountry without paying for it in weight or performance. The MDT HNT 26 folding chassis collapses the overall length for bush planes, pack frames, and tight quarters, then locks into a consistent shooting position every time it deploys. The BADWRX Primus action delivers sub-MOA precision in a platform engineered for the mountains. The ultralight carbon wrapped barrel delivers bullets on target every time. Every component on the Specter was selected for the hunter who measures approach distances in miles and elevation in vertical feet. This is the ultralight folding precision rifle.</t>
  </si>
  <si>
    <t xml:space="preserve">The BADWRX Reaper is our full chassis platform — purpose built for the shooter who demands complete adjustability without sacrificing precision or field reliability. Built on the BADWRX Primus action and housed in the MDT HNT 26 chassis, the Reaper delivers a repeatable cheek weld, folding capability, and a rigid bedding platform that performs identically from the bench to the field. Carbon wrapped barrel keeps weight where it belongs. This is a working rifle built for serious use.</t>
  </si>
  <si>
    <t xml:space="preserve">The BADWRX Imperium pairs the Primus action with the Manners Pro Hunter Adjustable stock for a mountain hunting platform built for the hunter who wants adjustability without the folding mechanism. The Pro Hunter delivers a consistent cheek weld, length of pull adjustment, and the legendary Manners fit and finish in a package optimized for day-long carries in vertical terrain. Hawkins M5 bottom metal. Same action, barrel, trigger, brake, and glass as the Specter — at a lower price point. The Imperium is for the hunter who knows exactly what they need.</t>
  </si>
  <si>
    <t xml:space="preserve">The BADWRX Invictus is the entry point into the BADWRX system — built on the Invictus X action with a carbon wrapped barrel, AG Composites stock, and TriggerTech Special trigger. It is not a budget rifle. It is a precision instrument built to the same tolerances and standards as every other BADWRX build, on a platform that has proven itself in every condition imaginable. If you are stepping into precision rifle shooting or looking for a capable hunting rifle without the ultralight premium, the Invictus is your rifle.</t>
  </si>
  <si>
    <t xml:space="preserve">The BADWRX Sentinel is built for guides, outfitters, and hunters who operate in country where the rifle has to work — every time, without question, under any condition. Controlled Round Feed action ensures positive extraction in environments that challenge push-feed designs. Short carbon wrapped barrel keeps handling fast and overall length manageable in dense terrain and close quarters. The Sentinel is chambered in calibers chosen for authority at both long range and bad breath distance. This is the rifle for when the job is non-negotiable.</t>
  </si>
  <si>
    <t xml:space="preserve">The BADWRX G.O.A.T. is built for the shooter who demands titanium-grade performance in the most compact and capable package we have ever offered. A 16.5 inch Carbon Six barrel in 7mm Backcountry delivers velocity and terminal performance that defies its length. The Lone Peak Fuzion Ti titanium action keeps weight at an absolute minimum while delivering the precision and reliability the BADWRX name demands. The XLR ATOM chassis folds tight for transport and locks rigid for the shot. This is the rifle for the hunter who has done the miles and knows exactly what they need when they get there.</t>
  </si>
  <si>
    <t xml:space="preserve">  PACKAGE PAGE BODY COPY</t>
  </si>
  <si>
    <t xml:space="preserve">BASECAMP PACKAGE — Headline</t>
  </si>
  <si>
    <t xml:space="preserve">The Complete System.</t>
  </si>
  <si>
    <t xml:space="preserve">BASECAMP PACKAGE — Body</t>
  </si>
  <si>
    <t xml:space="preserve">Every BADWRX rifle is built to perform. The BADWRX Basecamp Package ensures it is protected, verified, and maintainable everywhere you take it. Available on all six BADWRX platforms, the Basecamp Package includes a laser-cut BADWRX hard case foam insert fitted precisely to your rifle configuration, a Garmin Xero Chronograph for verified ballistic data in the field, and a Fix It Sticks field tool kit with the tools you need to maintain your rifle anywhere on earth. This is not a bundle. It is a system.</t>
  </si>
  <si>
    <t xml:space="preserve">BASECAMP — Laser-Cut Hard Case</t>
  </si>
  <si>
    <t xml:space="preserve">Custom laser-cut foam insert fitted to the exact dimensions of your rifle, scope, and accessories. Your rifle sits exactly where it belongs. Nothing moves.</t>
  </si>
  <si>
    <t xml:space="preserve">BASECAMP — Garmin Xero Chronograph</t>
  </si>
  <si>
    <t xml:space="preserve">Wireless, compact, accurate. Know your actual velocity in any condition. Not what a chart says — what your rifle says.</t>
  </si>
  <si>
    <t xml:space="preserve">BASECAMP — Fix It Sticks Field Kit</t>
  </si>
  <si>
    <t xml:space="preserve">The torque driver system used by professional gunsmiths and field hunters worldwide. The tools you need to maintain zero, tighten components, and solve problems in the field.</t>
  </si>
  <si>
    <t xml:space="preserve">OPTICS PACKAGE — Headline</t>
  </si>
  <si>
    <t xml:space="preserve">Your Glass. Your Choice.</t>
  </si>
  <si>
    <t xml:space="preserve">OPTICS PACKAGE — Body</t>
  </si>
  <si>
    <t xml:space="preserve">Every BADWRX rifle is built to work with the glass you choose. The BADWRX Optics Package pairs your rifle with Nightforce optics and Hawkins Precision rings — the same combination we trust on every build we run ourselves. Contact us to discuss your specific optic configuration. We will match the right glass to your platform, your caliber, and your intended use.</t>
  </si>
  <si>
    <t xml:space="preserve">HAWKINS RINGS — Description</t>
  </si>
  <si>
    <t xml:space="preserve">Hawkins Precision Ultra Light Tactical Rings — 30mm with offset level cap. The standard for precision rifle builds. Hawkins rings hold zero, protect your turrets, and add virtually nothing to your overall weight.</t>
  </si>
  <si>
    <t xml:space="preserve">BALLISTIC PACKAGE — Headline</t>
  </si>
  <si>
    <t xml:space="preserve">Your rifle ships zeroed. Most builders stop there. We don't.</t>
  </si>
  <si>
    <t xml:space="preserve">BALLISTIC PACKAGE — Body</t>
  </si>
  <si>
    <t xml:space="preserve">The BADWRX Ballistic Package takes your rifle to 1,000 meters. We shoot it, collect real velocity data, build your ballistic solution, true the data against actual impacts, calculate density altitude and firing solution corrections, and laser engrave your custom turret with the drop data for your exact load. Tell us where you hunt and what time of year — we account for the atmospherics. When your rifle arrives, your turrets are engraved for your elevation, your conditions, and your load. You dial, you shoot, you connect. This is not a ballistic app. This is your rifle, your data, your turrets — done right before it ever leaves our hands.</t>
  </si>
  <si>
    <t xml:space="preserve">BALLISTIC PACKAGE — How It Works</t>
  </si>
  <si>
    <t xml:space="preserve">When you order the Ballistic Package, tell us where you are hunting and what time of year. We use that information to set atmospheric parameters that match your conditions. Your rifle is shot at distance, the data is collected and trued, corrections are applied, and your turrets are engraved before the rifle ships. You arrive in the field with a rifle that is ready.</t>
  </si>
  <si>
    <t xml:space="preserve">  ABOUT PAGE COPY</t>
  </si>
  <si>
    <t xml:space="preserve">ABOUT — Headline</t>
  </si>
  <si>
    <t xml:space="preserve">Built Different. On Purpose.</t>
  </si>
  <si>
    <t xml:space="preserve">ABOUT — Body</t>
  </si>
  <si>
    <t xml:space="preserve">BADWRX was built on a simple conviction — that a precision rifle should do exactly what it is designed to do, weigh exactly what it needs to weigh, and perform without fail in the conditions that matter. We are not a production company. We do not build rifles in volume and hope they perform. Every BADWRX rifle is built to order, assembled by hand, and tested before it leaves. We select components that earn their place on the rifle. If something does not make the rifle lighter, more accurate, or more reliable — it does not go on the rifle. Our customers are serious hunters and precision shooters who have done their research and know exactly what they need. They are not looking for a name. They are looking for a rifle that works. We build that rifle. BADWRX. Diamondhead, Mississippi.</t>
  </si>
  <si>
    <t xml:space="preserve">ABOUT — Pillar 1: PRECISION</t>
  </si>
  <si>
    <t xml:space="preserve">We build to tolerances that matter. Every action, barrel, and component in a BADWRX rifle is selected and fitted to perform as a system, not as a collection of parts.</t>
  </si>
  <si>
    <t xml:space="preserve">ABOUT — Pillar 2: WEIGHT</t>
  </si>
  <si>
    <t xml:space="preserve">Ultralight is not a marketing term. It is an engineering discipline. We build the lightest rifle that can do the job — and we do not build rifles that cannot.</t>
  </si>
  <si>
    <t xml:space="preserve">ABOUT — Pillar 3: RELIABILITY</t>
  </si>
  <si>
    <t xml:space="preserve">A precision rifle that fails in the field is worse than useless. Every BADWRX build is tested, verified, and guaranteed before it ships.</t>
  </si>
</sst>
</file>

<file path=xl/styles.xml><?xml version="1.0" encoding="utf-8"?>
<styleSheet xmlns="http://schemas.openxmlformats.org/spreadsheetml/2006/main">
  <numFmts count="10">
    <numFmt numFmtId="164" formatCode="General"/>
    <numFmt numFmtId="165" formatCode="0"/>
    <numFmt numFmtId="166" formatCode="@"/>
    <numFmt numFmtId="167" formatCode="\$#,##0.00;&quot;($&quot;#,##0.00\);\-"/>
    <numFmt numFmtId="168" formatCode="0.0%;\(0.0%\);\-"/>
    <numFmt numFmtId="169" formatCode="\$#,##0.00"/>
    <numFmt numFmtId="170" formatCode="\$#,##0"/>
    <numFmt numFmtId="171" formatCode="\$#,##0.00_);[RED]&quot;($&quot;#,##0.00\)"/>
    <numFmt numFmtId="172" formatCode="d\-mmm"/>
    <numFmt numFmtId="173" formatCode="0%"/>
  </numFmts>
  <fonts count="133">
    <font>
      <sz val="11"/>
      <color theme="1"/>
      <name val="Aptos Narrow"/>
      <family val="2"/>
      <charset val="1"/>
    </font>
    <font>
      <sz val="10"/>
      <name val="Arial"/>
      <family val="0"/>
    </font>
    <font>
      <sz val="10"/>
      <name val="Arial"/>
      <family val="0"/>
    </font>
    <font>
      <sz val="10"/>
      <name val="Arial"/>
      <family val="0"/>
    </font>
    <font>
      <b val="true"/>
      <sz val="12"/>
      <color rgb="FFFFD700"/>
      <name val="Cambria"/>
      <family val="0"/>
      <charset val="1"/>
    </font>
    <font>
      <i val="true"/>
      <sz val="8"/>
      <color rgb="FF666666"/>
      <name val="Cambria"/>
      <family val="0"/>
      <charset val="1"/>
    </font>
    <font>
      <b val="true"/>
      <sz val="10"/>
      <color rgb="FFFFFFFF"/>
      <name val="Cambria"/>
      <family val="0"/>
      <charset val="1"/>
    </font>
    <font>
      <b val="true"/>
      <sz val="9"/>
      <color rgb="FFFFFFFF"/>
      <name val="Cambria"/>
      <family val="0"/>
      <charset val="1"/>
    </font>
    <font>
      <sz val="9"/>
      <color rgb="FF000000"/>
      <name val="Cambria"/>
      <family val="0"/>
      <charset val="1"/>
    </font>
    <font>
      <sz val="9"/>
      <color rgb="FF666666"/>
      <name val="Cambria"/>
      <family val="0"/>
      <charset val="1"/>
    </font>
    <font>
      <b val="true"/>
      <sz val="9"/>
      <color rgb="FF007700"/>
      <name val="Cambria"/>
      <family val="0"/>
      <charset val="1"/>
    </font>
    <font>
      <b val="true"/>
      <sz val="9"/>
      <color rgb="FFAA0000"/>
      <name val="Cambria"/>
      <family val="0"/>
      <charset val="1"/>
    </font>
    <font>
      <b val="true"/>
      <sz val="9"/>
      <color rgb="FFAA6600"/>
      <name val="Cambria"/>
      <family val="0"/>
      <charset val="1"/>
    </font>
    <font>
      <b val="true"/>
      <sz val="13"/>
      <color rgb="FFFFD700"/>
      <name val="Cambria"/>
      <family val="0"/>
      <charset val="1"/>
    </font>
    <font>
      <i val="true"/>
      <sz val="8"/>
      <color rgb="FF595959"/>
      <name val="Cambria"/>
      <family val="0"/>
      <charset val="1"/>
    </font>
    <font>
      <b val="true"/>
      <sz val="9"/>
      <color rgb="FF375623"/>
      <name val="Cambria"/>
      <family val="0"/>
      <charset val="1"/>
    </font>
    <font>
      <b val="true"/>
      <sz val="9"/>
      <color rgb="FFCC0000"/>
      <name val="Cambria"/>
      <family val="0"/>
      <charset val="1"/>
    </font>
    <font>
      <sz val="9"/>
      <color rgb="FF375623"/>
      <name val="Cambria"/>
      <family val="0"/>
      <charset val="1"/>
    </font>
    <font>
      <sz val="9"/>
      <color rgb="FFCC0000"/>
      <name val="Cambria"/>
      <family val="0"/>
      <charset val="1"/>
    </font>
    <font>
      <i val="true"/>
      <sz val="8"/>
      <color rgb="FFAA6600"/>
      <name val="Cambria"/>
      <family val="0"/>
      <charset val="1"/>
    </font>
    <font>
      <i val="true"/>
      <sz val="8"/>
      <color rgb="FFAA0000"/>
      <name val="Cambria"/>
      <family val="0"/>
      <charset val="1"/>
    </font>
    <font>
      <sz val="9"/>
      <color rgb="FF007700"/>
      <name val="Cambria"/>
      <family val="0"/>
      <charset val="1"/>
    </font>
    <font>
      <sz val="9"/>
      <color rgb="FFAA0000"/>
      <name val="Cambria"/>
      <family val="0"/>
      <charset val="1"/>
    </font>
    <font>
      <b val="true"/>
      <sz val="12"/>
      <color rgb="FFFFD700"/>
      <name val="Arial"/>
      <family val="0"/>
      <charset val="1"/>
    </font>
    <font>
      <i val="true"/>
      <sz val="8"/>
      <color rgb="FF555555"/>
      <name val="Arial"/>
      <family val="0"/>
      <charset val="1"/>
    </font>
    <font>
      <b val="true"/>
      <sz val="8"/>
      <color rgb="FF333333"/>
      <name val="Arial"/>
      <family val="0"/>
      <charset val="1"/>
    </font>
    <font>
      <b val="true"/>
      <sz val="8"/>
      <color rgb="FF0000FF"/>
      <name val="Arial"/>
      <family val="0"/>
      <charset val="1"/>
    </font>
    <font>
      <sz val="8"/>
      <color rgb="FF000000"/>
      <name val="Arial"/>
      <family val="0"/>
      <charset val="1"/>
    </font>
    <font>
      <b val="true"/>
      <sz val="8"/>
      <color rgb="FFFFFFFF"/>
      <name val="Arial"/>
      <family val="0"/>
      <charset val="1"/>
    </font>
    <font>
      <sz val="9"/>
      <color rgb="FF000000"/>
      <name val="Arial"/>
      <family val="0"/>
      <charset val="1"/>
    </font>
    <font>
      <b val="true"/>
      <sz val="9"/>
      <color rgb="FF0000FF"/>
      <name val="Arial"/>
      <family val="0"/>
      <charset val="1"/>
    </font>
    <font>
      <sz val="9"/>
      <color rgb="FF0000FF"/>
      <name val="Arial"/>
      <family val="0"/>
      <charset val="1"/>
    </font>
    <font>
      <i val="true"/>
      <sz val="9"/>
      <color rgb="FF999999"/>
      <name val="Arial"/>
      <family val="0"/>
      <charset val="1"/>
    </font>
    <font>
      <b val="true"/>
      <sz val="9"/>
      <name val="Arial"/>
      <family val="0"/>
      <charset val="1"/>
    </font>
    <font>
      <sz val="8"/>
      <color rgb="FF0000FF"/>
      <name val="Arial"/>
      <family val="0"/>
      <charset val="1"/>
    </font>
    <font>
      <i val="true"/>
      <sz val="9"/>
      <color rgb="FF0000FF"/>
      <name val="Arial"/>
      <family val="0"/>
      <charset val="1"/>
    </font>
    <font>
      <b val="true"/>
      <sz val="9"/>
      <color rgb="FFFFFFFF"/>
      <name val="Arial"/>
      <family val="0"/>
      <charset val="1"/>
    </font>
    <font>
      <b val="true"/>
      <sz val="11"/>
      <color rgb="FFFFD700"/>
      <name val="Arial"/>
      <family val="0"/>
      <charset val="1"/>
    </font>
    <font>
      <b val="true"/>
      <sz val="9"/>
      <color rgb="FF1E8449"/>
      <name val="Arial"/>
      <family val="0"/>
      <charset val="1"/>
    </font>
    <font>
      <sz val="9"/>
      <name val="Arial"/>
      <family val="0"/>
      <charset val="1"/>
    </font>
    <font>
      <i val="true"/>
      <sz val="7"/>
      <color rgb="FF666666"/>
      <name val="Arial"/>
      <family val="0"/>
      <charset val="1"/>
    </font>
    <font>
      <i val="true"/>
      <sz val="7"/>
      <color rgb="FF555555"/>
      <name val="Arial"/>
      <family val="0"/>
      <charset val="1"/>
    </font>
    <font>
      <b val="true"/>
      <sz val="7"/>
      <color rgb="FF333333"/>
      <name val="Arial"/>
      <family val="0"/>
      <charset val="1"/>
    </font>
    <font>
      <b val="true"/>
      <sz val="7"/>
      <color rgb="FF0000FF"/>
      <name val="Arial"/>
      <family val="0"/>
      <charset val="1"/>
    </font>
    <font>
      <b val="true"/>
      <sz val="7"/>
      <color rgb="FF9A7D0A"/>
      <name val="Arial"/>
      <family val="0"/>
      <charset val="1"/>
    </font>
    <font>
      <b val="true"/>
      <sz val="7"/>
      <color rgb="FF6C3483"/>
      <name val="Arial"/>
      <family val="0"/>
      <charset val="1"/>
    </font>
    <font>
      <sz val="7"/>
      <color rgb="FF000000"/>
      <name val="Arial"/>
      <family val="0"/>
      <charset val="1"/>
    </font>
    <font>
      <sz val="8"/>
      <name val="Arial"/>
      <family val="0"/>
      <charset val="1"/>
    </font>
    <font>
      <b val="true"/>
      <sz val="7"/>
      <color rgb="FFFFFFFF"/>
      <name val="Arial"/>
      <family val="0"/>
      <charset val="1"/>
    </font>
    <font>
      <sz val="8"/>
      <color rgb="FF9A7D0A"/>
      <name val="Arial"/>
      <family val="0"/>
      <charset val="1"/>
    </font>
    <font>
      <sz val="8"/>
      <color rgb="FF6C3483"/>
      <name val="Arial"/>
      <family val="0"/>
      <charset val="1"/>
    </font>
    <font>
      <b val="true"/>
      <sz val="8"/>
      <color rgb="FF000000"/>
      <name val="Arial"/>
      <family val="0"/>
      <charset val="1"/>
    </font>
    <font>
      <b val="true"/>
      <sz val="8"/>
      <name val="Arial"/>
      <family val="0"/>
      <charset val="1"/>
    </font>
    <font>
      <sz val="7"/>
      <color rgb="FF0000FF"/>
      <name val="Arial"/>
      <family val="0"/>
      <charset val="1"/>
    </font>
    <font>
      <i val="true"/>
      <sz val="7"/>
      <color rgb="FF0000FF"/>
      <name val="Arial"/>
      <family val="0"/>
      <charset val="1"/>
    </font>
    <font>
      <b val="true"/>
      <i val="true"/>
      <sz val="8"/>
      <color rgb="FF9A7D0A"/>
      <name val="Arial"/>
      <family val="0"/>
      <charset val="1"/>
    </font>
    <font>
      <b val="true"/>
      <sz val="8"/>
      <color rgb="FF9A7D0A"/>
      <name val="Arial"/>
      <family val="0"/>
      <charset val="1"/>
    </font>
    <font>
      <b val="true"/>
      <i val="true"/>
      <sz val="7"/>
      <color rgb="FF9A7D0A"/>
      <name val="Arial"/>
      <family val="0"/>
      <charset val="1"/>
    </font>
    <font>
      <b val="true"/>
      <i val="true"/>
      <sz val="8"/>
      <color rgb="FF6C3483"/>
      <name val="Arial"/>
      <family val="0"/>
      <charset val="1"/>
    </font>
    <font>
      <b val="true"/>
      <sz val="8"/>
      <color rgb="FF6C3483"/>
      <name val="Arial"/>
      <family val="0"/>
      <charset val="1"/>
    </font>
    <font>
      <b val="true"/>
      <i val="true"/>
      <sz val="7"/>
      <color rgb="FF6C3483"/>
      <name val="Arial"/>
      <family val="0"/>
      <charset val="1"/>
    </font>
    <font>
      <i val="true"/>
      <sz val="9"/>
      <color rgb="FF555555"/>
      <name val="Arial"/>
      <family val="0"/>
      <charset val="1"/>
    </font>
    <font>
      <b val="true"/>
      <sz val="9"/>
      <color rgb="FFCC6600"/>
      <name val="Arial"/>
      <family val="0"/>
      <charset val="1"/>
    </font>
    <font>
      <b val="true"/>
      <sz val="8"/>
      <color rgb="FF1E8449"/>
      <name val="Arial"/>
      <family val="0"/>
      <charset val="1"/>
    </font>
    <font>
      <b val="true"/>
      <sz val="8"/>
      <color rgb="FFCC6600"/>
      <name val="Arial"/>
      <family val="0"/>
      <charset val="1"/>
    </font>
    <font>
      <b val="true"/>
      <sz val="9"/>
      <color rgb="FF000000"/>
      <name val="Arial"/>
      <family val="0"/>
      <charset val="1"/>
    </font>
    <font>
      <b val="true"/>
      <i val="true"/>
      <sz val="9"/>
      <color rgb="FF555555"/>
      <name val="Arial"/>
      <family val="0"/>
      <charset val="1"/>
    </font>
    <font>
      <b val="true"/>
      <sz val="16"/>
      <color rgb="FFFFFFFF"/>
      <name val="Aptos Narrow"/>
      <family val="0"/>
      <charset val="1"/>
    </font>
    <font>
      <sz val="11"/>
      <color rgb="FFFF0000"/>
      <name val="Aptos Narrow"/>
      <family val="0"/>
      <charset val="1"/>
    </font>
    <font>
      <sz val="11"/>
      <color theme="1"/>
      <name val="Aptos Narrow"/>
      <family val="0"/>
      <charset val="1"/>
    </font>
    <font>
      <sz val="10"/>
      <color rgb="FFE0E0E0"/>
      <name val="Aptos Narrow"/>
      <family val="0"/>
      <charset val="1"/>
    </font>
    <font>
      <b val="true"/>
      <sz val="11"/>
      <color rgb="FF5B1A2B"/>
      <name val="Aptos Narrow"/>
      <family val="0"/>
      <charset val="1"/>
    </font>
    <font>
      <b val="true"/>
      <sz val="10"/>
      <color rgb="FF000000"/>
      <name val="Aptos Narrow"/>
      <family val="0"/>
      <charset val="1"/>
    </font>
    <font>
      <b val="true"/>
      <sz val="10"/>
      <color rgb="FF000000"/>
      <name val="Aptos Narrow"/>
      <family val="2"/>
      <charset val="1"/>
    </font>
    <font>
      <sz val="11"/>
      <name val="Aptos Narrow"/>
      <family val="0"/>
      <charset val="1"/>
    </font>
    <font>
      <sz val="9"/>
      <color rgb="FF666666"/>
      <name val="Aptos Narrow"/>
      <family val="0"/>
      <charset val="1"/>
    </font>
    <font>
      <i val="true"/>
      <sz val="9"/>
      <color rgb="FF8DB4E2"/>
      <name val="Aptos Narrow"/>
      <family val="0"/>
      <charset val="1"/>
    </font>
    <font>
      <b val="true"/>
      <sz val="11"/>
      <color rgb="FF1F3864"/>
      <name val="Aptos Narrow"/>
      <family val="0"/>
      <charset val="1"/>
    </font>
    <font>
      <b val="true"/>
      <sz val="10"/>
      <color theme="1"/>
      <name val="Aptos Narrow"/>
      <family val="0"/>
      <charset val="1"/>
    </font>
    <font>
      <b val="true"/>
      <sz val="10"/>
      <color theme="1"/>
      <name val="Aptos Narrow"/>
      <family val="2"/>
      <charset val="1"/>
    </font>
    <font>
      <sz val="11"/>
      <color theme="1"/>
      <name val="Arial"/>
      <family val="0"/>
      <charset val="1"/>
    </font>
    <font>
      <i val="true"/>
      <sz val="9"/>
      <color rgb="FFD4A0A0"/>
      <name val="Aptos Narrow"/>
      <family val="0"/>
      <charset val="1"/>
    </font>
    <font>
      <b val="true"/>
      <sz val="11"/>
      <color rgb="FF4A1A1A"/>
      <name val="Aptos Narrow"/>
      <family val="0"/>
      <charset val="1"/>
    </font>
    <font>
      <b val="true"/>
      <i val="true"/>
      <sz val="9"/>
      <color rgb="FF666666"/>
      <name val="Aptos Narrow"/>
      <family val="2"/>
      <charset val="1"/>
    </font>
    <font>
      <sz val="9"/>
      <color rgb="FF888888"/>
      <name val="Aptos Narrow"/>
      <family val="2"/>
      <charset val="1"/>
    </font>
    <font>
      <i val="true"/>
      <sz val="9"/>
      <color rgb="FF888888"/>
      <name val="Aptos Narrow"/>
      <family val="0"/>
      <charset val="1"/>
    </font>
    <font>
      <b val="true"/>
      <sz val="16"/>
      <color rgb="FFFFFFFF"/>
      <name val="Aptos Narrow"/>
      <family val="2"/>
      <charset val="1"/>
    </font>
    <font>
      <sz val="11"/>
      <color rgb="FFFF0000"/>
      <name val="Aptos Narrow"/>
      <family val="2"/>
      <charset val="1"/>
    </font>
    <font>
      <sz val="10"/>
      <color rgb="FFE0E0E0"/>
      <name val="Aptos Narrow"/>
      <family val="2"/>
      <charset val="1"/>
    </font>
    <font>
      <b val="true"/>
      <sz val="11"/>
      <color rgb="FF8B0000"/>
      <name val="Aptos Narrow"/>
      <family val="2"/>
      <charset val="1"/>
    </font>
    <font>
      <sz val="11"/>
      <name val="Aptos Narrow"/>
      <family val="2"/>
      <charset val="1"/>
    </font>
    <font>
      <i val="true"/>
      <sz val="11"/>
      <color rgb="FF999999"/>
      <name val="Aptos Narrow"/>
      <family val="2"/>
      <charset val="1"/>
    </font>
    <font>
      <sz val="9"/>
      <color rgb="FF666666"/>
      <name val="Aptos Narrow"/>
      <family val="2"/>
      <charset val="1"/>
    </font>
    <font>
      <b val="true"/>
      <sz val="10"/>
      <color rgb="FF4A1A1A"/>
      <name val="Aptos Narrow"/>
      <family val="0"/>
      <charset val="1"/>
    </font>
    <font>
      <sz val="11"/>
      <color rgb="FF000000"/>
      <name val="Aptos Narrow"/>
      <family val="0"/>
      <charset val="1"/>
    </font>
    <font>
      <b val="true"/>
      <sz val="10"/>
      <color rgb="FF000000"/>
      <name val="Arial"/>
      <family val="2"/>
      <charset val="1"/>
    </font>
    <font>
      <b val="true"/>
      <sz val="11"/>
      <name val="Aptos Narrow"/>
      <family val="2"/>
      <charset val="1"/>
    </font>
    <font>
      <i val="true"/>
      <sz val="9"/>
      <color rgb="FFA0C4A0"/>
      <name val="Aptos Narrow"/>
      <family val="0"/>
      <charset val="1"/>
    </font>
    <font>
      <b val="true"/>
      <sz val="10"/>
      <color rgb="FF2E5E3E"/>
      <name val="Aptos Narrow"/>
      <family val="0"/>
      <charset val="1"/>
    </font>
    <font>
      <sz val="10"/>
      <color rgb="FF8888AA"/>
      <name val="Aptos Narrow"/>
      <family val="0"/>
      <charset val="1"/>
    </font>
    <font>
      <b val="true"/>
      <sz val="10"/>
      <color rgb="FF1A1A2E"/>
      <name val="Aptos Narrow"/>
      <family val="0"/>
      <charset val="1"/>
    </font>
    <font>
      <i val="true"/>
      <sz val="9"/>
      <color rgb="FFAAAAAA"/>
      <name val="Aptos Narrow"/>
      <family val="0"/>
      <charset val="1"/>
    </font>
    <font>
      <b val="true"/>
      <sz val="10"/>
      <color rgb="FF3B3B3B"/>
      <name val="Aptos Narrow"/>
      <family val="0"/>
      <charset val="1"/>
    </font>
    <font>
      <b val="true"/>
      <sz val="9"/>
      <color rgb="FFC00000"/>
      <name val="Aptos Narrow"/>
      <family val="2"/>
      <charset val="1"/>
    </font>
    <font>
      <sz val="11"/>
      <color rgb="FFFFEB3B"/>
      <name val="Aptos Narrow"/>
      <family val="2"/>
      <charset val="1"/>
    </font>
    <font>
      <b val="true"/>
      <sz val="11"/>
      <color rgb="FF1B5E20"/>
      <name val="Aptos Narrow"/>
      <family val="2"/>
      <charset val="1"/>
    </font>
    <font>
      <b val="true"/>
      <sz val="9"/>
      <color rgb="FF1B5E20"/>
      <name val="Aptos Narrow"/>
      <family val="2"/>
      <charset val="1"/>
    </font>
    <font>
      <b val="true"/>
      <sz val="9"/>
      <color rgb="FFFF4444"/>
      <name val="Aptos Narrow"/>
      <family val="0"/>
      <charset val="1"/>
    </font>
    <font>
      <i val="true"/>
      <sz val="9"/>
      <color rgb="FF999999"/>
      <name val="Aptos Narrow"/>
      <family val="0"/>
      <charset val="1"/>
    </font>
    <font>
      <b val="true"/>
      <sz val="10"/>
      <color rgb="FF2C2C2C"/>
      <name val="Aptos Narrow"/>
      <family val="0"/>
      <charset val="1"/>
    </font>
    <font>
      <sz val="10"/>
      <color rgb="FF8AAA78"/>
      <name val="Aptos Narrow"/>
      <family val="0"/>
      <charset val="1"/>
    </font>
    <font>
      <i val="true"/>
      <sz val="9"/>
      <color rgb="FFFFFFFF"/>
      <name val="Aptos Narrow"/>
      <family val="0"/>
      <charset val="1"/>
    </font>
    <font>
      <b val="true"/>
      <sz val="10"/>
      <color rgb="FF2D4A22"/>
      <name val="Aptos Narrow"/>
      <family val="0"/>
      <charset val="1"/>
    </font>
    <font>
      <b val="true"/>
      <sz val="12"/>
      <color rgb="FFFFFFFF"/>
      <name val="Aptos Narrow"/>
      <family val="2"/>
      <charset val="1"/>
    </font>
    <font>
      <b val="true"/>
      <sz val="11"/>
      <color rgb="FF8B4513"/>
      <name val="Aptos Narrow"/>
      <family val="2"/>
      <charset val="1"/>
    </font>
    <font>
      <sz val="9"/>
      <name val="Aptos Narrow"/>
      <family val="2"/>
      <charset val="1"/>
    </font>
    <font>
      <b val="true"/>
      <sz val="11"/>
      <color rgb="FF731D2D"/>
      <name val="Aptos Narrow"/>
      <family val="2"/>
      <charset val="1"/>
    </font>
    <font>
      <i val="true"/>
      <sz val="9"/>
      <color rgb="FFA0C890"/>
      <name val="Aptos Narrow"/>
      <family val="0"/>
      <charset val="1"/>
    </font>
    <font>
      <b val="true"/>
      <sz val="11"/>
      <color rgb="FF2D5016"/>
      <name val="Aptos Narrow"/>
      <family val="0"/>
      <charset val="1"/>
    </font>
    <font>
      <b val="true"/>
      <sz val="11"/>
      <color theme="1"/>
      <name val="Aptos Narrow"/>
      <family val="0"/>
      <charset val="1"/>
    </font>
    <font>
      <b val="true"/>
      <sz val="11"/>
      <color rgb="FF666666"/>
      <name val="Aptos Narrow"/>
      <family val="0"/>
      <charset val="1"/>
    </font>
    <font>
      <sz val="11"/>
      <color rgb="FF888888"/>
      <name val="Aptos Narrow"/>
      <family val="0"/>
      <charset val="1"/>
    </font>
    <font>
      <b val="true"/>
      <sz val="11"/>
      <color rgb="FFFFFFFF"/>
      <name val="Cambria"/>
      <family val="0"/>
      <charset val="1"/>
    </font>
    <font>
      <sz val="9"/>
      <name val="Cambria"/>
      <family val="0"/>
      <charset val="1"/>
    </font>
    <font>
      <i val="true"/>
      <sz val="8"/>
      <color rgb="FF888888"/>
      <name val="Cambria"/>
      <family val="0"/>
      <charset val="1"/>
    </font>
    <font>
      <b val="true"/>
      <sz val="11"/>
      <color rgb="FFFFFFFF"/>
      <name val="Arial"/>
      <family val="0"/>
      <charset val="1"/>
    </font>
    <font>
      <i val="true"/>
      <sz val="9"/>
      <name val="Arial"/>
      <family val="0"/>
      <charset val="1"/>
    </font>
    <font>
      <b val="true"/>
      <sz val="14"/>
      <color rgb="FFFFD700"/>
      <name val="Arial"/>
      <family val="0"/>
      <charset val="1"/>
    </font>
    <font>
      <b val="true"/>
      <sz val="13"/>
      <color rgb="FFFFD700"/>
      <name val="Arial"/>
      <family val="0"/>
      <charset val="1"/>
    </font>
    <font>
      <sz val="10"/>
      <color rgb="FF000000"/>
      <name val="Arial"/>
      <family val="0"/>
      <charset val="1"/>
    </font>
    <font>
      <b val="true"/>
      <sz val="10"/>
      <color rgb="FFFFFFFF"/>
      <name val="Arial"/>
      <family val="0"/>
      <charset val="1"/>
    </font>
    <font>
      <sz val="9"/>
      <color rgb="FF555555"/>
      <name val="Arial"/>
      <family val="0"/>
      <charset val="1"/>
    </font>
    <font>
      <i val="true"/>
      <sz val="9"/>
      <color rgb="FFAAAAAA"/>
      <name val="Arial"/>
      <family val="0"/>
      <charset val="1"/>
    </font>
  </fonts>
  <fills count="61">
    <fill>
      <patternFill patternType="none"/>
    </fill>
    <fill>
      <patternFill patternType="gray125"/>
    </fill>
    <fill>
      <patternFill patternType="solid">
        <fgColor rgb="FF14172A"/>
        <bgColor rgb="FF16192C"/>
      </patternFill>
    </fill>
    <fill>
      <patternFill patternType="darkGray">
        <fgColor rgb="FF1F3559"/>
        <bgColor rgb="FF273C49"/>
      </patternFill>
    </fill>
    <fill>
      <patternFill patternType="solid">
        <fgColor rgb="FF204B6A"/>
        <bgColor rgb="FF273C49"/>
      </patternFill>
    </fill>
    <fill>
      <patternFill patternType="solid">
        <fgColor rgb="FFEEF4F8"/>
        <bgColor rgb="FFECF5FA"/>
      </patternFill>
    </fill>
    <fill>
      <patternFill patternType="solid">
        <fgColor rgb="FF16192C"/>
        <bgColor rgb="FF14172A"/>
      </patternFill>
    </fill>
    <fill>
      <patternFill patternType="solid">
        <fgColor rgb="FFE2EFDF"/>
        <bgColor rgb="FFE8F0E7"/>
      </patternFill>
    </fill>
    <fill>
      <patternFill patternType="solid">
        <fgColor rgb="FFFBE1DD"/>
        <bgColor rgb="FFF4DBDC"/>
      </patternFill>
    </fill>
    <fill>
      <patternFill patternType="mediumGray">
        <fgColor rgb="FFF8F9FA"/>
        <bgColor rgb="FFF7F5F6"/>
      </patternFill>
    </fill>
    <fill>
      <patternFill patternType="darkGray">
        <fgColor rgb="FFF8F9FA"/>
        <bgColor rgb="FFF7F5F6"/>
      </patternFill>
    </fill>
    <fill>
      <patternFill patternType="solid">
        <fgColor rgb="FFECF5FA"/>
        <bgColor rgb="FFEBF5FB"/>
      </patternFill>
    </fill>
    <fill>
      <patternFill patternType="solid">
        <fgColor rgb="FFFDFEFE"/>
        <bgColor rgb="FFFFFFFF"/>
      </patternFill>
    </fill>
    <fill>
      <patternFill patternType="solid">
        <fgColor rgb="FF0F3460"/>
        <bgColor rgb="FF1F3559"/>
      </patternFill>
    </fill>
    <fill>
      <patternFill patternType="mediumGray">
        <fgColor rgb="FF0C5D0A"/>
        <bgColor rgb="FF245316"/>
      </patternFill>
    </fill>
    <fill>
      <patternFill patternType="solid">
        <fgColor rgb="FF16213E"/>
        <bgColor rgb="FF1A2A3A"/>
      </patternFill>
    </fill>
    <fill>
      <patternFill patternType="solid">
        <fgColor rgb="FFEBF5FB"/>
        <bgColor rgb="FFECF5FA"/>
      </patternFill>
    </fill>
    <fill>
      <patternFill patternType="solid">
        <fgColor rgb="FFFFF9E6"/>
        <bgColor rgb="FFFFF9ED"/>
      </patternFill>
    </fill>
    <fill>
      <patternFill patternType="solid">
        <fgColor rgb="FFEDF6EE"/>
        <bgColor rgb="FFEEF9EF"/>
      </patternFill>
    </fill>
    <fill>
      <patternFill patternType="solid">
        <fgColor rgb="FFFFFFFF"/>
        <bgColor rgb="FFFDFEFE"/>
      </patternFill>
    </fill>
    <fill>
      <patternFill patternType="solid">
        <fgColor rgb="FFFFF9ED"/>
        <bgColor rgb="FFFFF9E6"/>
      </patternFill>
    </fill>
    <fill>
      <patternFill patternType="solid">
        <fgColor rgb="FFF4ECF7"/>
        <bgColor rgb="FFF5F5F5"/>
      </patternFill>
    </fill>
    <fill>
      <patternFill patternType="solid">
        <fgColor rgb="FFF8F9FA"/>
        <bgColor rgb="FFF7F5F6"/>
      </patternFill>
    </fill>
    <fill>
      <patternFill patternType="solid">
        <fgColor rgb="FFEEF6FF"/>
        <bgColor rgb="FFECF5FA"/>
      </patternFill>
    </fill>
    <fill>
      <patternFill patternType="solid">
        <fgColor rgb="FFFFF9ED"/>
        <bgColor rgb="FFFFF9E6"/>
      </patternFill>
    </fill>
    <fill>
      <patternFill patternType="darkGray">
        <fgColor rgb="FFEEF9EF"/>
        <bgColor rgb="FFEDF6EE"/>
      </patternFill>
    </fill>
    <fill>
      <patternFill patternType="solid">
        <fgColor rgb="FF5B1A2B"/>
        <bgColor rgb="FF4A1A1A"/>
      </patternFill>
    </fill>
    <fill>
      <patternFill patternType="solid">
        <fgColor rgb="FFF4DBDC"/>
        <bgColor rgb="FFECDFE4"/>
      </patternFill>
    </fill>
    <fill>
      <patternFill patternType="solid">
        <fgColor rgb="FFFFFF00"/>
        <bgColor rgb="FFFFDE02"/>
      </patternFill>
    </fill>
    <fill>
      <patternFill patternType="solid">
        <fgColor rgb="FFDBE8F5"/>
        <bgColor rgb="FFE2EFDF"/>
      </patternFill>
    </fill>
    <fill>
      <patternFill patternType="solid">
        <fgColor rgb="FF4A1A1A"/>
        <bgColor rgb="FF5B1A2B"/>
      </patternFill>
    </fill>
    <fill>
      <patternFill patternType="solid">
        <fgColor rgb="FFA20303"/>
        <bgColor rgb="FFC90103"/>
      </patternFill>
    </fill>
    <fill>
      <patternFill patternType="solid">
        <fgColor rgb="FF245316"/>
        <bgColor rgb="FF2D5119"/>
      </patternFill>
    </fill>
    <fill>
      <patternFill patternType="solid">
        <fgColor rgb="FFDAEBD5"/>
        <bgColor rgb="FFE2EFDF"/>
      </patternFill>
    </fill>
    <fill>
      <patternFill patternType="solid">
        <fgColor rgb="FFE8F0E7"/>
        <bgColor rgb="FFEBF1EA"/>
      </patternFill>
    </fill>
    <fill>
      <patternFill patternType="darkGray">
        <fgColor rgb="FFECDFE4"/>
        <bgColor rgb="FFF4DBDC"/>
      </patternFill>
    </fill>
    <fill>
      <patternFill patternType="solid">
        <fgColor rgb="FFEBF1EA"/>
        <bgColor rgb="FFE8F0E7"/>
      </patternFill>
    </fill>
    <fill>
      <patternFill patternType="darkGray">
        <fgColor rgb="FF353535"/>
        <bgColor rgb="FF333333"/>
      </patternFill>
    </fill>
    <fill>
      <patternFill patternType="solid">
        <fgColor rgb="FFECDFE4"/>
        <bgColor rgb="FFF4DBDC"/>
      </patternFill>
    </fill>
    <fill>
      <patternFill patternType="solid">
        <fgColor rgb="FFF7F5F6"/>
        <bgColor rgb="FFF5F5F5"/>
      </patternFill>
    </fill>
    <fill>
      <patternFill patternType="solid">
        <fgColor rgb="FF1E2C1E"/>
        <bgColor rgb="FF1A2A3A"/>
      </patternFill>
    </fill>
    <fill>
      <patternFill patternType="solid">
        <fgColor rgb="FF2D5119"/>
        <bgColor rgb="FF245316"/>
      </patternFill>
    </fill>
    <fill>
      <patternFill patternType="solid">
        <fgColor rgb="FF2D5119"/>
        <bgColor rgb="FF245316"/>
      </patternFill>
    </fill>
    <fill>
      <patternFill patternType="mediumGray">
        <fgColor rgb="FF666666"/>
        <bgColor rgb="FF634D68"/>
      </patternFill>
    </fill>
    <fill>
      <patternFill patternType="solid">
        <fgColor rgb="FF721E21"/>
        <bgColor rgb="FF5B1A2B"/>
      </patternFill>
    </fill>
    <fill>
      <patternFill patternType="solid">
        <fgColor rgb="FF2D5119"/>
        <bgColor rgb="FF245316"/>
      </patternFill>
    </fill>
    <fill>
      <patternFill patternType="solid">
        <fgColor rgb="FF1F8348"/>
        <bgColor rgb="FF0C5D0A"/>
      </patternFill>
    </fill>
    <fill>
      <patternFill patternType="darkGray">
        <fgColor rgb="FFEDF6EE"/>
        <bgColor rgb="FFEBF1EA"/>
      </patternFill>
    </fill>
    <fill>
      <patternFill patternType="darkGray">
        <fgColor rgb="FF1F3559"/>
        <bgColor rgb="FF0F3460"/>
      </patternFill>
    </fill>
    <fill>
      <patternFill patternType="mediumGray">
        <fgColor rgb="FF14172A"/>
        <bgColor rgb="FF16192C"/>
      </patternFill>
    </fill>
    <fill>
      <patternFill patternType="solid">
        <fgColor rgb="FF1A2A3A"/>
        <bgColor rgb="FF16213E"/>
      </patternFill>
    </fill>
    <fill>
      <patternFill patternType="solid">
        <fgColor rgb="FF273C49"/>
        <bgColor rgb="FF1F3559"/>
      </patternFill>
    </fill>
    <fill>
      <patternFill patternType="solid">
        <fgColor rgb="FF353535"/>
        <bgColor rgb="FF333333"/>
      </patternFill>
    </fill>
    <fill>
      <patternFill patternType="solid">
        <fgColor rgb="FF2D5119"/>
        <bgColor rgb="FF245316"/>
      </patternFill>
    </fill>
    <fill>
      <patternFill patternType="solid">
        <fgColor rgb="FFEEF9EF"/>
        <bgColor rgb="FFEDF6EE"/>
      </patternFill>
    </fill>
    <fill>
      <patternFill patternType="mediumGray">
        <fgColor rgb="FFEDF6EE"/>
        <bgColor rgb="FFEBF1EA"/>
      </patternFill>
    </fill>
    <fill>
      <patternFill patternType="solid">
        <fgColor rgb="FFC90103"/>
        <bgColor rgb="FFA20303"/>
      </patternFill>
    </fill>
    <fill>
      <patternFill patternType="solid">
        <fgColor rgb="FFF5F5F5"/>
        <bgColor rgb="FFF7F5F6"/>
      </patternFill>
    </fill>
    <fill>
      <patternFill patternType="mediumGray">
        <fgColor rgb="FF204B6A"/>
        <bgColor rgb="FF273C49"/>
      </patternFill>
    </fill>
    <fill>
      <patternFill patternType="solid">
        <fgColor rgb="FF16192C"/>
        <bgColor rgb="FF14172A"/>
      </patternFill>
    </fill>
    <fill>
      <patternFill patternType="solid">
        <fgColor rgb="FFC90103"/>
        <bgColor rgb="FFA20303"/>
      </patternFill>
    </fill>
  </fills>
  <borders count="14">
    <border diagonalUp="false" diagonalDown="false">
      <left/>
      <right/>
      <top/>
      <bottom/>
      <diagonal/>
    </border>
    <border diagonalUp="false" diagonalDown="false">
      <left style="thin">
        <color rgb="FFC1C7C8"/>
      </left>
      <right style="thin">
        <color rgb="FFC1C7C8"/>
      </right>
      <top style="thin">
        <color rgb="FFC1C7C8"/>
      </top>
      <bottom style="thin">
        <color rgb="FFC1C7C8"/>
      </bottom>
      <diagonal/>
    </border>
    <border diagonalUp="false" diagonalDown="false">
      <left style="thin">
        <color rgb="FFBFC9CA"/>
      </left>
      <right style="thin">
        <color rgb="FFBFC9CA"/>
      </right>
      <top style="thin">
        <color rgb="FFBFC9CA"/>
      </top>
      <bottom style="thin">
        <color rgb="FFBFC9CA"/>
      </bottom>
      <diagonal/>
    </border>
    <border diagonalUp="false" diagonalDown="false">
      <left style="medium">
        <color rgb="FFC1C7C8"/>
      </left>
      <right style="medium">
        <color rgb="FFC1C7C8"/>
      </right>
      <top style="medium">
        <color rgb="FFC1C7C8"/>
      </top>
      <bottom style="medium">
        <color rgb="FFC1C7C8"/>
      </bottom>
      <diagonal/>
    </border>
    <border diagonalUp="false" diagonalDown="false">
      <left style="thin">
        <color rgb="FFA7C999"/>
      </left>
      <right style="thin">
        <color rgb="FFA7C999"/>
      </right>
      <top style="thin">
        <color rgb="FFA7C999"/>
      </top>
      <bottom style="thin">
        <color rgb="FFA7C999"/>
      </bottom>
      <diagonal/>
    </border>
    <border diagonalUp="false" diagonalDown="false">
      <left/>
      <right/>
      <top style="thin">
        <color rgb="FFA7C999"/>
      </top>
      <bottom style="thin">
        <color rgb="FFA7C999"/>
      </bottom>
      <diagonal/>
    </border>
    <border diagonalUp="false" diagonalDown="false">
      <left/>
      <right style="thin">
        <color rgb="FFA7C999"/>
      </right>
      <top style="thin">
        <color rgb="FFA7C999"/>
      </top>
      <bottom style="thin">
        <color rgb="FFA7C999"/>
      </bottom>
      <diagonal/>
    </border>
    <border diagonalUp="false" diagonalDown="false">
      <left style="thin">
        <color rgb="FFA7C999"/>
      </left>
      <right/>
      <top style="thin">
        <color rgb="FFA7C999"/>
      </top>
      <bottom style="thin">
        <color rgb="FFA7C999"/>
      </bottom>
      <diagonal/>
    </border>
    <border diagonalUp="false" diagonalDown="false">
      <left style="medium">
        <color rgb="FF9A99A3"/>
      </left>
      <right style="medium">
        <color rgb="FF9A99A3"/>
      </right>
      <top style="medium">
        <color rgb="FF9A99A3"/>
      </top>
      <bottom style="medium">
        <color rgb="FF9A99A3"/>
      </bottom>
      <diagonal/>
    </border>
    <border diagonalUp="false" diagonalDown="false">
      <left style="medium">
        <color rgb="FF9A99A3"/>
      </left>
      <right/>
      <top style="medium">
        <color rgb="FF9A99A3"/>
      </top>
      <bottom style="medium">
        <color rgb="FF9A99A3"/>
      </bottom>
      <diagonal/>
    </border>
    <border diagonalUp="false" diagonalDown="false">
      <left style="thin">
        <color rgb="FFBFC9CA"/>
      </left>
      <right/>
      <top style="thin">
        <color rgb="FFBFC9CA"/>
      </top>
      <bottom style="thin">
        <color rgb="FFBFC9CA"/>
      </bottom>
      <diagonal/>
    </border>
    <border diagonalUp="false" diagonalDown="false">
      <left style="thin">
        <color rgb="FFBBCABB"/>
      </left>
      <right style="thin">
        <color rgb="FFBBCABB"/>
      </right>
      <top style="thin">
        <color rgb="FFBBCABB"/>
      </top>
      <bottom style="thin">
        <color rgb="FFBBCABB"/>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2" fillId="5" borderId="0" xfId="0" applyFont="true" applyBorder="false" applyAlignment="true" applyProtection="false">
      <alignment horizontal="center" vertical="center" textRotation="0" wrapText="false" indent="0" shrinkToFit="false"/>
      <protection locked="true" hidden="false"/>
    </xf>
    <xf numFmtId="164" fontId="13" fillId="6"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5" fillId="7" borderId="0" xfId="0" applyFont="true" applyBorder="false" applyAlignment="true" applyProtection="false">
      <alignment horizontal="center" vertical="center" textRotation="0" wrapText="false" indent="0" shrinkToFit="false"/>
      <protection locked="true" hidden="false"/>
    </xf>
    <xf numFmtId="164" fontId="16" fillId="8"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7" borderId="0" xfId="0" applyFont="true" applyBorder="false" applyAlignment="true" applyProtection="false">
      <alignment horizontal="left" vertical="center" textRotation="0" wrapText="false" indent="0" shrinkToFit="false"/>
      <protection locked="true" hidden="false"/>
    </xf>
    <xf numFmtId="164" fontId="17" fillId="7" borderId="0" xfId="0" applyFont="true" applyBorder="false" applyAlignment="true" applyProtection="false">
      <alignment horizontal="center" vertical="center" textRotation="0" wrapText="false" indent="0" shrinkToFit="false"/>
      <protection locked="true" hidden="false"/>
    </xf>
    <xf numFmtId="164" fontId="16" fillId="8" borderId="0" xfId="0" applyFont="true" applyBorder="false" applyAlignment="true" applyProtection="false">
      <alignment horizontal="left"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8" fillId="9" borderId="0" xfId="0" applyFont="true" applyBorder="false" applyAlignment="true" applyProtection="false">
      <alignment horizontal="left" vertical="center" textRotation="0" wrapText="fals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center" vertical="center" textRotation="0" wrapText="false" indent="0" shrinkToFit="false"/>
      <protection locked="true" hidden="false"/>
    </xf>
    <xf numFmtId="164" fontId="23" fillId="6" borderId="0" xfId="0" applyFont="true" applyBorder="tru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6" fillId="11" borderId="1" xfId="0" applyFont="true" applyBorder="true" applyAlignment="true" applyProtection="false">
      <alignment horizontal="center" vertical="center" textRotation="0" wrapText="false" indent="0" shrinkToFit="false"/>
      <protection locked="true" hidden="false"/>
    </xf>
    <xf numFmtId="164" fontId="27" fillId="12" borderId="1" xfId="0" applyFont="true" applyBorder="true" applyAlignment="true" applyProtection="false">
      <alignment horizontal="center" vertical="center" textRotation="0" wrapText="false" indent="0" shrinkToFit="false"/>
      <protection locked="true" hidden="false"/>
    </xf>
    <xf numFmtId="164" fontId="28" fillId="13" borderId="0" xfId="0" applyFont="true" applyBorder="true" applyAlignment="true" applyProtection="false">
      <alignment horizontal="center" vertical="center" textRotation="0" wrapText="false" indent="0" shrinkToFit="false"/>
      <protection locked="true" hidden="false"/>
    </xf>
    <xf numFmtId="164" fontId="28" fillId="4" borderId="0" xfId="0" applyFont="true" applyBorder="true" applyAlignment="true" applyProtection="false">
      <alignment horizontal="center" vertical="center" textRotation="0" wrapText="false" indent="0" shrinkToFit="false"/>
      <protection locked="true" hidden="false"/>
    </xf>
    <xf numFmtId="164" fontId="28" fillId="14" borderId="0" xfId="0" applyFont="true" applyBorder="true" applyAlignment="true" applyProtection="false">
      <alignment horizontal="center" vertical="center" textRotation="0" wrapText="false" indent="0" shrinkToFit="false"/>
      <protection locked="true" hidden="false"/>
    </xf>
    <xf numFmtId="164" fontId="28" fillId="15" borderId="1" xfId="0" applyFont="true" applyBorder="true" applyAlignment="true" applyProtection="false">
      <alignment horizontal="center" vertical="center" textRotation="0" wrapText="true" indent="0" shrinkToFit="false"/>
      <protection locked="true" hidden="false"/>
    </xf>
    <xf numFmtId="165" fontId="29" fillId="12" borderId="1" xfId="0" applyFont="true" applyBorder="true" applyAlignment="true" applyProtection="false">
      <alignment horizontal="center" vertical="center" textRotation="0" wrapText="false" indent="0" shrinkToFit="false"/>
      <protection locked="true" hidden="false"/>
    </xf>
    <xf numFmtId="164" fontId="30" fillId="11" borderId="1" xfId="0" applyFont="true" applyBorder="true" applyAlignment="true" applyProtection="false">
      <alignment horizontal="center" vertical="center" textRotation="0" wrapText="false" indent="0" shrinkToFit="false"/>
      <protection locked="true" hidden="false"/>
    </xf>
    <xf numFmtId="166" fontId="31" fillId="11" borderId="1" xfId="0" applyFont="true" applyBorder="true" applyAlignment="true" applyProtection="false">
      <alignment horizontal="center" vertical="center" textRotation="0" wrapText="false" indent="0" shrinkToFit="false"/>
      <protection locked="true" hidden="false"/>
    </xf>
    <xf numFmtId="164" fontId="31" fillId="11" borderId="1" xfId="0" applyFont="true" applyBorder="true" applyAlignment="true" applyProtection="false">
      <alignment horizontal="center" vertical="center" textRotation="0" wrapText="false" indent="0" shrinkToFit="false"/>
      <protection locked="true" hidden="false"/>
    </xf>
    <xf numFmtId="167" fontId="31" fillId="11" borderId="1" xfId="0" applyFont="true" applyBorder="true" applyAlignment="true" applyProtection="false">
      <alignment horizontal="center" vertical="center" textRotation="0" wrapText="false" indent="0" shrinkToFit="false"/>
      <protection locked="true" hidden="false"/>
    </xf>
    <xf numFmtId="167" fontId="32" fillId="16" borderId="2" xfId="0" applyFont="true" applyBorder="true" applyAlignment="true" applyProtection="false">
      <alignment horizontal="center" vertical="center" textRotation="0" wrapText="false" indent="0" shrinkToFit="false"/>
      <protection locked="true" hidden="false"/>
    </xf>
    <xf numFmtId="167" fontId="29" fillId="12" borderId="1" xfId="0" applyFont="true" applyBorder="true" applyAlignment="true" applyProtection="false">
      <alignment horizontal="center" vertical="center" textRotation="0" wrapText="false" indent="0" shrinkToFit="false"/>
      <protection locked="true" hidden="false"/>
    </xf>
    <xf numFmtId="167" fontId="33" fillId="12" borderId="1" xfId="0" applyFont="true" applyBorder="true" applyAlignment="true" applyProtection="false">
      <alignment horizontal="center" vertical="center" textRotation="0" wrapText="false" indent="0" shrinkToFit="false"/>
      <protection locked="true" hidden="false"/>
    </xf>
    <xf numFmtId="168" fontId="33" fillId="12" borderId="1" xfId="0" applyFont="true" applyBorder="true" applyAlignment="true" applyProtection="false">
      <alignment horizontal="center" vertical="center" textRotation="0" wrapText="false" indent="0" shrinkToFit="false"/>
      <protection locked="true" hidden="false"/>
    </xf>
    <xf numFmtId="164" fontId="34" fillId="11" borderId="1" xfId="0" applyFont="true" applyBorder="true" applyAlignment="true" applyProtection="false">
      <alignment horizontal="center" vertical="center" textRotation="0" wrapText="false" indent="0" shrinkToFit="false"/>
      <protection locked="true" hidden="false"/>
    </xf>
    <xf numFmtId="164" fontId="35" fillId="16" borderId="2" xfId="0" applyFont="true" applyBorder="true" applyAlignment="true" applyProtection="false">
      <alignment horizontal="left" vertical="center" textRotation="0" wrapText="true" indent="0" shrinkToFit="false"/>
      <protection locked="true" hidden="false"/>
    </xf>
    <xf numFmtId="165" fontId="33" fillId="12" borderId="2" xfId="0" applyFont="true" applyBorder="true" applyAlignment="true" applyProtection="false">
      <alignment horizontal="center" vertical="center" textRotation="0" wrapText="false" indent="0" shrinkToFit="false"/>
      <protection locked="true" hidden="false"/>
    </xf>
    <xf numFmtId="164" fontId="30" fillId="16" borderId="2" xfId="0" applyFont="true" applyBorder="true" applyAlignment="true" applyProtection="false">
      <alignment horizontal="center" vertical="center" textRotation="0" wrapText="false" indent="0" shrinkToFit="false"/>
      <protection locked="true" hidden="false"/>
    </xf>
    <xf numFmtId="166" fontId="31" fillId="16" borderId="2" xfId="0" applyFont="true" applyBorder="true" applyAlignment="true" applyProtection="false">
      <alignment horizontal="center" vertical="center" textRotation="0" wrapText="false" indent="0" shrinkToFit="false"/>
      <protection locked="true" hidden="false"/>
    </xf>
    <xf numFmtId="164" fontId="31" fillId="16" borderId="2" xfId="0" applyFont="true" applyBorder="true" applyAlignment="true" applyProtection="false">
      <alignment horizontal="center" vertical="center" textRotation="0" wrapText="false" indent="0" shrinkToFit="false"/>
      <protection locked="true" hidden="false"/>
    </xf>
    <xf numFmtId="167" fontId="31" fillId="16" borderId="2" xfId="0" applyFont="true" applyBorder="true" applyAlignment="true" applyProtection="false">
      <alignment horizontal="center" vertical="center" textRotation="0" wrapText="false" indent="0" shrinkToFit="false"/>
      <protection locked="true" hidden="false"/>
    </xf>
    <xf numFmtId="167" fontId="33" fillId="12" borderId="2" xfId="0" applyFont="true" applyBorder="true" applyAlignment="true" applyProtection="false">
      <alignment horizontal="center" vertical="center" textRotation="0" wrapText="false" indent="0" shrinkToFit="false"/>
      <protection locked="true" hidden="false"/>
    </xf>
    <xf numFmtId="168" fontId="33" fillId="12" borderId="2" xfId="0" applyFont="true" applyBorder="true" applyAlignment="true" applyProtection="false">
      <alignment horizontal="center" vertical="center" textRotation="0" wrapText="false" indent="0" shrinkToFit="false"/>
      <protection locked="true" hidden="false"/>
    </xf>
    <xf numFmtId="167" fontId="31" fillId="11" borderId="1" xfId="0" applyFont="true" applyBorder="true" applyAlignment="true" applyProtection="false">
      <alignment horizontal="general" vertical="bottom" textRotation="0" wrapText="false" indent="0" shrinkToFit="false"/>
      <protection locked="true" hidden="false"/>
    </xf>
    <xf numFmtId="164" fontId="36" fillId="15" borderId="0" xfId="0" applyFont="true" applyBorder="true" applyAlignment="true" applyProtection="false">
      <alignment horizontal="center" vertical="center" textRotation="0" wrapText="false" indent="0" shrinkToFit="false"/>
      <protection locked="true" hidden="false"/>
    </xf>
    <xf numFmtId="167" fontId="36" fillId="15" borderId="3" xfId="0" applyFont="true" applyBorder="true" applyAlignment="true" applyProtection="false">
      <alignment horizontal="center" vertical="center" textRotation="0" wrapText="false" indent="0" shrinkToFit="false"/>
      <protection locked="true" hidden="false"/>
    </xf>
    <xf numFmtId="168" fontId="36" fillId="15" borderId="3" xfId="0" applyFont="true" applyBorder="true" applyAlignment="true" applyProtection="false">
      <alignment horizontal="center" vertical="center" textRotation="0" wrapText="false" indent="0" shrinkToFit="false"/>
      <protection locked="true" hidden="false"/>
    </xf>
    <xf numFmtId="164" fontId="37" fillId="6" borderId="0" xfId="0" applyFont="true" applyBorder="true" applyAlignment="true" applyProtection="false">
      <alignment horizontal="center" vertical="center" textRotation="0" wrapText="false" indent="0" shrinkToFit="false"/>
      <protection locked="true" hidden="false"/>
    </xf>
    <xf numFmtId="164" fontId="28" fillId="15" borderId="2" xfId="0" applyFont="true" applyBorder="true" applyAlignment="true" applyProtection="false">
      <alignment horizontal="center" vertical="center" textRotation="0" wrapText="true" indent="0" shrinkToFit="false"/>
      <protection locked="true" hidden="false"/>
    </xf>
    <xf numFmtId="165" fontId="29" fillId="10" borderId="2" xfId="0" applyFont="true" applyBorder="true" applyAlignment="true" applyProtection="false">
      <alignment horizontal="left" vertical="center" textRotation="0" wrapText="false" indent="0" shrinkToFit="false"/>
      <protection locked="true" hidden="false"/>
    </xf>
    <xf numFmtId="164" fontId="33" fillId="10" borderId="2" xfId="0" applyFont="true" applyBorder="true" applyAlignment="true" applyProtection="false">
      <alignment horizontal="left" vertical="center" textRotation="0" wrapText="false" indent="0" shrinkToFit="false"/>
      <protection locked="true" hidden="false"/>
    </xf>
    <xf numFmtId="167" fontId="29" fillId="12" borderId="2" xfId="0" applyFont="true" applyBorder="true" applyAlignment="true" applyProtection="false">
      <alignment horizontal="center" vertical="center" textRotation="0" wrapText="false" indent="0" shrinkToFit="false"/>
      <protection locked="true" hidden="false"/>
    </xf>
    <xf numFmtId="167" fontId="29" fillId="17" borderId="2" xfId="0" applyFont="true" applyBorder="true" applyAlignment="true" applyProtection="false">
      <alignment horizontal="center" vertical="center" textRotation="0" wrapText="false" indent="0" shrinkToFit="false"/>
      <protection locked="true" hidden="false"/>
    </xf>
    <xf numFmtId="167" fontId="38" fillId="18" borderId="2" xfId="0" applyFont="true" applyBorder="true" applyAlignment="true" applyProtection="false">
      <alignment horizontal="center" vertical="center" textRotation="0" wrapText="false" indent="0" shrinkToFit="false"/>
      <protection locked="true" hidden="false"/>
    </xf>
    <xf numFmtId="168" fontId="29" fillId="12" borderId="2" xfId="0" applyFont="true" applyBorder="true" applyAlignment="true" applyProtection="false">
      <alignment horizontal="center" vertical="center" textRotation="0" wrapText="false" indent="0" shrinkToFit="false"/>
      <protection locked="true" hidden="false"/>
    </xf>
    <xf numFmtId="167" fontId="30" fillId="16" borderId="2" xfId="0" applyFont="true" applyBorder="true" applyAlignment="true" applyProtection="false">
      <alignment horizontal="center" vertical="center" textRotation="0" wrapText="false" indent="0" shrinkToFit="false"/>
      <protection locked="true" hidden="false"/>
    </xf>
    <xf numFmtId="165" fontId="29" fillId="19" borderId="2" xfId="0" applyFont="true" applyBorder="true" applyAlignment="true" applyProtection="false">
      <alignment horizontal="left" vertical="center" textRotation="0" wrapText="false" indent="0" shrinkToFit="false"/>
      <protection locked="true" hidden="false"/>
    </xf>
    <xf numFmtId="164" fontId="33" fillId="19" borderId="2" xfId="0" applyFont="true" applyBorder="true" applyAlignment="true" applyProtection="false">
      <alignment horizontal="left" vertical="center" textRotation="0" wrapText="false" indent="0" shrinkToFit="false"/>
      <protection locked="true" hidden="false"/>
    </xf>
    <xf numFmtId="165" fontId="39" fillId="12" borderId="2"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left" vertical="center" textRotation="0" wrapText="false" indent="0" shrinkToFit="false"/>
      <protection locked="true" hidden="false"/>
    </xf>
    <xf numFmtId="167" fontId="39" fillId="17" borderId="2" xfId="0" applyFont="true" applyBorder="true" applyAlignment="true" applyProtection="false">
      <alignment horizontal="center" vertical="center" textRotation="0" wrapText="false" indent="0" shrinkToFit="false"/>
      <protection locked="true" hidden="false"/>
    </xf>
    <xf numFmtId="165" fontId="29" fillId="0" borderId="2" xfId="0" applyFont="true" applyBorder="true" applyAlignment="true" applyProtection="false">
      <alignment horizontal="left" vertical="center" textRotation="0" wrapText="false" indent="0" shrinkToFit="false"/>
      <protection locked="true" hidden="false"/>
    </xf>
    <xf numFmtId="164" fontId="40" fillId="0" borderId="0" xfId="0" applyFont="true" applyBorder="true" applyAlignment="true" applyProtection="false">
      <alignment horizontal="left" vertical="center" textRotation="0" wrapText="false" indent="0" shrinkToFit="false"/>
      <protection locked="true" hidden="false"/>
    </xf>
    <xf numFmtId="164" fontId="41" fillId="10" borderId="0" xfId="0" applyFont="true" applyBorder="tru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164" fontId="43" fillId="11" borderId="4" xfId="0" applyFont="true" applyBorder="true" applyAlignment="true" applyProtection="false">
      <alignment horizontal="center" vertical="center" textRotation="0" wrapText="false" indent="0" shrinkToFit="false"/>
      <protection locked="true" hidden="false"/>
    </xf>
    <xf numFmtId="164" fontId="44" fillId="20" borderId="4" xfId="0" applyFont="true" applyBorder="true" applyAlignment="true" applyProtection="false">
      <alignment horizontal="center" vertical="center" textRotation="0" wrapText="false" indent="0" shrinkToFit="false"/>
      <protection locked="true" hidden="false"/>
    </xf>
    <xf numFmtId="164" fontId="45" fillId="21" borderId="4" xfId="0" applyFont="true" applyBorder="true" applyAlignment="true" applyProtection="false">
      <alignment horizontal="center" vertical="center" textRotation="0" wrapText="false" indent="0" shrinkToFit="false"/>
      <protection locked="true" hidden="false"/>
    </xf>
    <xf numFmtId="164" fontId="46" fillId="12" borderId="4" xfId="0" applyFont="true" applyBorder="true" applyAlignment="true" applyProtection="false">
      <alignment horizontal="center" vertical="center" textRotation="0" wrapText="false" indent="0" shrinkToFit="false"/>
      <protection locked="true" hidden="false"/>
    </xf>
    <xf numFmtId="164" fontId="47" fillId="22" borderId="0" xfId="0" applyFont="true" applyBorder="false" applyAlignment="true" applyProtection="false">
      <alignment horizontal="right" vertical="center" textRotation="0" wrapText="false" indent="0" shrinkToFit="false"/>
      <protection locked="true" hidden="false"/>
    </xf>
    <xf numFmtId="164" fontId="47" fillId="22" borderId="0" xfId="0" applyFont="true" applyBorder="false" applyAlignment="true" applyProtection="false">
      <alignment horizontal="center" vertical="center" textRotation="0" wrapText="false" indent="0" shrinkToFit="false"/>
      <protection locked="true" hidden="false"/>
    </xf>
    <xf numFmtId="164" fontId="48" fillId="13" borderId="0" xfId="0" applyFont="true" applyBorder="true" applyAlignment="true" applyProtection="false">
      <alignment horizontal="center" vertical="center" textRotation="0" wrapText="false" indent="0" shrinkToFit="false"/>
      <protection locked="true" hidden="false"/>
    </xf>
    <xf numFmtId="164" fontId="48" fillId="4" borderId="0" xfId="0" applyFont="true" applyBorder="true" applyAlignment="true" applyProtection="false">
      <alignment horizontal="center" vertical="center" textRotation="0" wrapText="false" indent="0" shrinkToFit="false"/>
      <protection locked="true" hidden="false"/>
    </xf>
    <xf numFmtId="164" fontId="48" fillId="4" borderId="0" xfId="0" applyFont="true" applyBorder="false" applyAlignment="true" applyProtection="false">
      <alignment horizontal="center" vertical="center" textRotation="0" wrapText="false" indent="0" shrinkToFit="false"/>
      <protection locked="true" hidden="false"/>
    </xf>
    <xf numFmtId="164" fontId="48" fillId="15" borderId="4" xfId="0" applyFont="true" applyBorder="true" applyAlignment="true" applyProtection="false">
      <alignment horizontal="center" vertical="center" textRotation="0" wrapText="true" indent="0" shrinkToFit="false"/>
      <protection locked="true" hidden="false"/>
    </xf>
    <xf numFmtId="164" fontId="48" fillId="15" borderId="1" xfId="0" applyFont="true" applyBorder="true" applyAlignment="true" applyProtection="false">
      <alignment horizontal="center" vertical="center" textRotation="0" wrapText="true" indent="0" shrinkToFit="false"/>
      <protection locked="true" hidden="false"/>
    </xf>
    <xf numFmtId="165" fontId="27" fillId="12" borderId="4" xfId="0" applyFont="true" applyBorder="true" applyAlignment="true" applyProtection="false">
      <alignment horizontal="center" vertical="center" textRotation="0" wrapText="false" indent="0" shrinkToFit="false"/>
      <protection locked="true" hidden="false"/>
    </xf>
    <xf numFmtId="164" fontId="26" fillId="11" borderId="4" xfId="0" applyFont="true" applyBorder="true" applyAlignment="true" applyProtection="false">
      <alignment horizontal="left" vertical="center" textRotation="0" wrapText="false" indent="0" shrinkToFit="false"/>
      <protection locked="true" hidden="false"/>
    </xf>
    <xf numFmtId="166" fontId="34" fillId="11" borderId="4" xfId="0" applyFont="true" applyBorder="true" applyAlignment="true" applyProtection="false">
      <alignment horizontal="center" vertical="center" textRotation="0" wrapText="false" indent="0" shrinkToFit="false"/>
      <protection locked="true" hidden="false"/>
    </xf>
    <xf numFmtId="164" fontId="34" fillId="11" borderId="4" xfId="0" applyFont="true" applyBorder="true" applyAlignment="true" applyProtection="false">
      <alignment horizontal="left" vertical="center" textRotation="0" wrapText="false" indent="0" shrinkToFit="false"/>
      <protection locked="true" hidden="false"/>
    </xf>
    <xf numFmtId="167" fontId="34" fillId="11" borderId="4" xfId="0" applyFont="true" applyBorder="true" applyAlignment="true" applyProtection="false">
      <alignment horizontal="center" vertical="center" textRotation="0" wrapText="false" indent="0" shrinkToFit="false"/>
      <protection locked="true" hidden="false"/>
    </xf>
    <xf numFmtId="167" fontId="49" fillId="20" borderId="4" xfId="0" applyFont="true" applyBorder="true" applyAlignment="true" applyProtection="false">
      <alignment horizontal="center" vertical="center" textRotation="0" wrapText="false" indent="0" shrinkToFit="false"/>
      <protection locked="true" hidden="false"/>
    </xf>
    <xf numFmtId="167" fontId="50" fillId="21" borderId="4" xfId="0" applyFont="true" applyBorder="true" applyAlignment="true" applyProtection="false">
      <alignment horizontal="center" vertical="center" textRotation="0" wrapText="false" indent="0" shrinkToFit="false"/>
      <protection locked="true" hidden="false"/>
    </xf>
    <xf numFmtId="167" fontId="27" fillId="11" borderId="1" xfId="0" applyFont="true" applyBorder="true" applyAlignment="true" applyProtection="false">
      <alignment horizontal="center" vertical="center" textRotation="0" wrapText="false" indent="0" shrinkToFit="false"/>
      <protection locked="true" hidden="false"/>
    </xf>
    <xf numFmtId="169" fontId="51" fillId="12" borderId="1" xfId="0" applyFont="true" applyBorder="true" applyAlignment="true" applyProtection="false">
      <alignment horizontal="center" vertical="center" textRotation="0" wrapText="false" indent="0" shrinkToFit="false"/>
      <protection locked="true" hidden="false"/>
    </xf>
    <xf numFmtId="167" fontId="52" fillId="12" borderId="1" xfId="0" applyFont="true" applyBorder="true" applyAlignment="true" applyProtection="false">
      <alignment horizontal="center" vertical="center" textRotation="0" wrapText="false" indent="0" shrinkToFit="false"/>
      <protection locked="true" hidden="false"/>
    </xf>
    <xf numFmtId="168" fontId="52" fillId="12" borderId="1" xfId="0" applyFont="true" applyBorder="true" applyAlignment="true" applyProtection="false">
      <alignment horizontal="center" vertical="center" textRotation="0" wrapText="false" indent="0" shrinkToFit="false"/>
      <protection locked="true" hidden="false"/>
    </xf>
    <xf numFmtId="164" fontId="53" fillId="11" borderId="4" xfId="0" applyFont="true" applyBorder="true" applyAlignment="true" applyProtection="false">
      <alignment horizontal="left" vertical="center" textRotation="0" wrapText="true" indent="0" shrinkToFit="false"/>
      <protection locked="true" hidden="false"/>
    </xf>
    <xf numFmtId="164" fontId="54" fillId="11" borderId="4" xfId="0" applyFont="true" applyBorder="true" applyAlignment="true" applyProtection="false">
      <alignment horizontal="left" vertical="center" textRotation="0" wrapText="true" indent="0" shrinkToFit="false"/>
      <protection locked="true" hidden="false"/>
    </xf>
    <xf numFmtId="165" fontId="52" fillId="12" borderId="2" xfId="0" applyFont="true" applyBorder="true" applyAlignment="true" applyProtection="false">
      <alignment horizontal="center" vertical="center" textRotation="0" wrapText="false" indent="0" shrinkToFit="false"/>
      <protection locked="true" hidden="false"/>
    </xf>
    <xf numFmtId="164" fontId="34" fillId="16" borderId="2" xfId="0" applyFont="true" applyBorder="true" applyAlignment="true" applyProtection="false">
      <alignment horizontal="left" vertical="center" textRotation="0" wrapText="false" indent="0" shrinkToFit="false"/>
      <protection locked="true" hidden="false"/>
    </xf>
    <xf numFmtId="166" fontId="34" fillId="16" borderId="2" xfId="0" applyFont="true" applyBorder="true" applyAlignment="true" applyProtection="false">
      <alignment horizontal="center" vertical="center" textRotation="0" wrapText="false" indent="0" shrinkToFit="false"/>
      <protection locked="true" hidden="false"/>
    </xf>
    <xf numFmtId="167" fontId="34" fillId="16" borderId="2" xfId="0" applyFont="true" applyBorder="true" applyAlignment="true" applyProtection="false">
      <alignment horizontal="center" vertical="center" textRotation="0" wrapText="false" indent="0" shrinkToFit="false"/>
      <protection locked="true" hidden="false"/>
    </xf>
    <xf numFmtId="164" fontId="34" fillId="16" borderId="2" xfId="0" applyFont="true" applyBorder="true" applyAlignment="true" applyProtection="false">
      <alignment horizontal="center" vertical="center" textRotation="0" wrapText="false" indent="0" shrinkToFit="false"/>
      <protection locked="true" hidden="false"/>
    </xf>
    <xf numFmtId="167" fontId="52" fillId="12" borderId="2" xfId="0" applyFont="true" applyBorder="true" applyAlignment="true" applyProtection="false">
      <alignment horizontal="center" vertical="center" textRotation="0" wrapText="false" indent="0" shrinkToFit="false"/>
      <protection locked="true" hidden="false"/>
    </xf>
    <xf numFmtId="168" fontId="52" fillId="12" borderId="2" xfId="0" applyFont="true" applyBorder="true" applyAlignment="true" applyProtection="false">
      <alignment horizontal="center" vertical="center" textRotation="0" wrapText="false" indent="0" shrinkToFit="false"/>
      <protection locked="true" hidden="false"/>
    </xf>
    <xf numFmtId="164" fontId="55" fillId="20" borderId="0" xfId="0" applyFont="true" applyBorder="false" applyAlignment="true" applyProtection="false">
      <alignment horizontal="right" vertical="center" textRotation="0" wrapText="false" indent="0" shrinkToFit="false"/>
      <protection locked="true" hidden="false"/>
    </xf>
    <xf numFmtId="164" fontId="0" fillId="20" borderId="1" xfId="0" applyFont="false" applyBorder="true" applyAlignment="true" applyProtection="false">
      <alignment horizontal="general" vertical="bottom" textRotation="0" wrapText="false" indent="0" shrinkToFit="false"/>
      <protection locked="true" hidden="false"/>
    </xf>
    <xf numFmtId="167" fontId="56" fillId="20" borderId="1" xfId="0" applyFont="true" applyBorder="true" applyAlignment="true" applyProtection="false">
      <alignment horizontal="center" vertical="center" textRotation="0" wrapText="false" indent="0" shrinkToFit="false"/>
      <protection locked="true" hidden="false"/>
    </xf>
    <xf numFmtId="167" fontId="57" fillId="20" borderId="1" xfId="0" applyFont="true" applyBorder="true" applyAlignment="true" applyProtection="false">
      <alignment horizontal="right" vertical="center" textRotation="0" wrapText="false" indent="0" shrinkToFit="false"/>
      <protection locked="true" hidden="false"/>
    </xf>
    <xf numFmtId="164" fontId="58" fillId="21" borderId="0" xfId="0" applyFont="true" applyBorder="false" applyAlignment="true" applyProtection="false">
      <alignment horizontal="right" vertical="center" textRotation="0" wrapText="false" indent="0" shrinkToFit="false"/>
      <protection locked="true" hidden="false"/>
    </xf>
    <xf numFmtId="164" fontId="0" fillId="21" borderId="1" xfId="0" applyFont="false" applyBorder="true" applyAlignment="true" applyProtection="false">
      <alignment horizontal="general" vertical="bottom" textRotation="0" wrapText="false" indent="0" shrinkToFit="false"/>
      <protection locked="true" hidden="false"/>
    </xf>
    <xf numFmtId="167" fontId="59" fillId="21" borderId="1" xfId="0" applyFont="true" applyBorder="true" applyAlignment="true" applyProtection="false">
      <alignment horizontal="center" vertical="center" textRotation="0" wrapText="false" indent="0" shrinkToFit="false"/>
      <protection locked="true" hidden="false"/>
    </xf>
    <xf numFmtId="167" fontId="60" fillId="21" borderId="1" xfId="0" applyFont="true" applyBorder="true" applyAlignment="true" applyProtection="false">
      <alignment horizontal="right" vertical="center" textRotation="0" wrapText="false" indent="0" shrinkToFit="false"/>
      <protection locked="true" hidden="false"/>
    </xf>
    <xf numFmtId="165" fontId="55" fillId="20" borderId="4" xfId="0" applyFont="true" applyBorder="true" applyAlignment="true" applyProtection="false">
      <alignment horizontal="right"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7" fontId="34" fillId="11" borderId="4" xfId="0" applyFont="true" applyBorder="true" applyAlignment="true" applyProtection="false">
      <alignment horizontal="general" vertical="bottom" textRotation="0" wrapText="false" indent="0" shrinkToFit="false"/>
      <protection locked="true" hidden="false"/>
    </xf>
    <xf numFmtId="165" fontId="58" fillId="21" borderId="4" xfId="0" applyFont="true" applyBorder="true" applyAlignment="true" applyProtection="false">
      <alignment horizontal="right" vertical="center" textRotation="0" wrapText="false" indent="0" shrinkToFit="false"/>
      <protection locked="true" hidden="false"/>
    </xf>
    <xf numFmtId="165" fontId="27" fillId="12" borderId="7" xfId="0" applyFont="true" applyBorder="true" applyAlignment="true" applyProtection="false">
      <alignment horizontal="center" vertical="center" textRotation="0" wrapText="false" indent="0" shrinkToFit="false"/>
      <protection locked="true" hidden="false"/>
    </xf>
    <xf numFmtId="167" fontId="27" fillId="12" borderId="4" xfId="0" applyFont="true" applyBorder="true" applyAlignment="true" applyProtection="false">
      <alignment horizontal="center" vertical="center" textRotation="0" wrapText="false" indent="0" shrinkToFit="false"/>
      <protection locked="true" hidden="false"/>
    </xf>
    <xf numFmtId="164" fontId="28" fillId="15" borderId="0" xfId="0" applyFont="true" applyBorder="false" applyAlignment="true" applyProtection="false">
      <alignment horizontal="right" vertical="center" textRotation="0" wrapText="false" indent="0" shrinkToFit="false"/>
      <protection locked="true" hidden="false"/>
    </xf>
    <xf numFmtId="167" fontId="28" fillId="15" borderId="3" xfId="0" applyFont="true" applyBorder="true" applyAlignment="true" applyProtection="false">
      <alignment horizontal="center" vertical="center" textRotation="0" wrapText="false" indent="0" shrinkToFit="false"/>
      <protection locked="true" hidden="false"/>
    </xf>
    <xf numFmtId="167" fontId="28" fillId="15" borderId="8" xfId="0" applyFont="true" applyBorder="true" applyAlignment="true" applyProtection="false">
      <alignment horizontal="center" vertical="center" textRotation="0" wrapText="false" indent="0" shrinkToFit="false"/>
      <protection locked="true" hidden="false"/>
    </xf>
    <xf numFmtId="168" fontId="28" fillId="15" borderId="8" xfId="0" applyFont="true" applyBorder="true" applyAlignment="true" applyProtection="false">
      <alignment horizontal="center" vertical="center" textRotation="0" wrapText="false" indent="0" shrinkToFit="false"/>
      <protection locked="true" hidden="false"/>
    </xf>
    <xf numFmtId="164" fontId="24" fillId="22" borderId="0" xfId="0" applyFont="true" applyBorder="true" applyAlignment="true" applyProtection="false">
      <alignment horizontal="center" vertical="center" textRotation="0" wrapText="false" indent="0" shrinkToFit="false"/>
      <protection locked="true" hidden="false"/>
    </xf>
    <xf numFmtId="164" fontId="36" fillId="15" borderId="1" xfId="0" applyFont="true" applyBorder="true" applyAlignment="true" applyProtection="false">
      <alignment horizontal="center" vertical="center" textRotation="0" wrapText="true" indent="0" shrinkToFit="false"/>
      <protection locked="true" hidden="false"/>
    </xf>
    <xf numFmtId="164" fontId="29" fillId="23" borderId="1" xfId="0" applyFont="true" applyBorder="true" applyAlignment="true" applyProtection="false">
      <alignment horizontal="left" vertical="center" textRotation="0" wrapText="true" indent="0" shrinkToFit="false"/>
      <protection locked="true" hidden="false"/>
    </xf>
    <xf numFmtId="164" fontId="29" fillId="23" borderId="1" xfId="0" applyFont="true" applyBorder="true" applyAlignment="true" applyProtection="false">
      <alignment horizontal="center" vertical="center" textRotation="0" wrapText="false" indent="0" shrinkToFit="false"/>
      <protection locked="true" hidden="false"/>
    </xf>
    <xf numFmtId="167" fontId="29" fillId="23" borderId="1" xfId="0" applyFont="true" applyBorder="true" applyAlignment="true" applyProtection="false">
      <alignment horizontal="center" vertical="center" textRotation="0" wrapText="false" indent="0" shrinkToFit="false"/>
      <protection locked="true" hidden="false"/>
    </xf>
    <xf numFmtId="164" fontId="29" fillId="23" borderId="1" xfId="0" applyFont="true" applyBorder="true" applyAlignment="true" applyProtection="false">
      <alignment horizontal="left" vertical="center" textRotation="0" wrapText="false" indent="0" shrinkToFit="false"/>
      <protection locked="true" hidden="false"/>
    </xf>
    <xf numFmtId="164" fontId="38" fillId="18" borderId="1" xfId="0" applyFont="true" applyBorder="true" applyAlignment="true" applyProtection="false">
      <alignment horizontal="center" vertical="center" textRotation="0" wrapText="true" indent="0" shrinkToFit="false"/>
      <protection locked="true" hidden="false"/>
    </xf>
    <xf numFmtId="164" fontId="61" fillId="23" borderId="1" xfId="0" applyFont="true" applyBorder="true" applyAlignment="true" applyProtection="false">
      <alignment horizontal="left" vertical="center" textRotation="0" wrapText="tru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false" indent="0" shrinkToFit="false"/>
      <protection locked="true" hidden="false"/>
    </xf>
    <xf numFmtId="167" fontId="29" fillId="0" borderId="1" xfId="0" applyFont="true" applyBorder="true" applyAlignment="true" applyProtection="false">
      <alignment horizontal="center" vertical="center" textRotation="0" wrapText="false" indent="0" shrinkToFit="false"/>
      <protection locked="true" hidden="false"/>
    </xf>
    <xf numFmtId="164" fontId="29" fillId="0" borderId="1" xfId="0" applyFont="true" applyBorder="true" applyAlignment="true" applyProtection="false">
      <alignment horizontal="left" vertical="center" textRotation="0" wrapText="false" indent="0" shrinkToFit="false"/>
      <protection locked="true" hidden="false"/>
    </xf>
    <xf numFmtId="164" fontId="62" fillId="24" borderId="1" xfId="0" applyFont="true" applyBorder="true" applyAlignment="true" applyProtection="false">
      <alignment horizontal="center" vertical="center" textRotation="0" wrapText="true" indent="0" shrinkToFit="false"/>
      <protection locked="true" hidden="false"/>
    </xf>
    <xf numFmtId="164" fontId="61" fillId="0" borderId="1" xfId="0" applyFont="true" applyBorder="true" applyAlignment="true" applyProtection="false">
      <alignment horizontal="left" vertical="center" textRotation="0" wrapText="true" indent="0" shrinkToFit="false"/>
      <protection locked="true" hidden="false"/>
    </xf>
    <xf numFmtId="164" fontId="29" fillId="23" borderId="2" xfId="0" applyFont="true" applyBorder="true" applyAlignment="true" applyProtection="false">
      <alignment horizontal="left" vertical="center" textRotation="0" wrapText="true" indent="0" shrinkToFit="false"/>
      <protection locked="true" hidden="false"/>
    </xf>
    <xf numFmtId="165" fontId="29" fillId="23" borderId="2" xfId="0" applyFont="true" applyBorder="true" applyAlignment="true" applyProtection="false">
      <alignment horizontal="center" vertical="center" textRotation="0" wrapText="true" indent="0" shrinkToFit="false"/>
      <protection locked="true" hidden="false"/>
    </xf>
    <xf numFmtId="167" fontId="29" fillId="23" borderId="2" xfId="0" applyFont="true" applyBorder="true" applyAlignment="true" applyProtection="false">
      <alignment horizontal="center" vertical="center" textRotation="0" wrapText="true" indent="0" shrinkToFit="false"/>
      <protection locked="true" hidden="false"/>
    </xf>
    <xf numFmtId="164" fontId="63" fillId="25" borderId="2" xfId="0" applyFont="true" applyBorder="true" applyAlignment="true" applyProtection="false">
      <alignment horizontal="center" vertical="center" textRotation="0" wrapText="true" indent="0" shrinkToFit="false"/>
      <protection locked="true" hidden="false"/>
    </xf>
    <xf numFmtId="164" fontId="61" fillId="23" borderId="2" xfId="0" applyFont="true" applyBorder="true" applyAlignment="true" applyProtection="false">
      <alignment horizontal="left" vertical="center" textRotation="0" wrapText="true" indent="0" shrinkToFit="false"/>
      <protection locked="true" hidden="false"/>
    </xf>
    <xf numFmtId="164" fontId="29" fillId="19" borderId="2" xfId="0" applyFont="true" applyBorder="true" applyAlignment="true" applyProtection="false">
      <alignment horizontal="left" vertical="center" textRotation="0" wrapText="true" indent="0" shrinkToFit="false"/>
      <protection locked="true" hidden="false"/>
    </xf>
    <xf numFmtId="165" fontId="29" fillId="19" borderId="2" xfId="0" applyFont="true" applyBorder="true" applyAlignment="true" applyProtection="false">
      <alignment horizontal="center" vertical="center" textRotation="0" wrapText="true" indent="0" shrinkToFit="false"/>
      <protection locked="true" hidden="false"/>
    </xf>
    <xf numFmtId="167" fontId="29" fillId="19" borderId="2" xfId="0" applyFont="true" applyBorder="true" applyAlignment="true" applyProtection="false">
      <alignment horizontal="center" vertical="center" textRotation="0" wrapText="true" indent="0" shrinkToFit="false"/>
      <protection locked="true" hidden="false"/>
    </xf>
    <xf numFmtId="164" fontId="64" fillId="17" borderId="2" xfId="0" applyFont="true" applyBorder="true" applyAlignment="true" applyProtection="false">
      <alignment horizontal="center" vertical="center" textRotation="0" wrapText="true" indent="0" shrinkToFit="false"/>
      <protection locked="true" hidden="false"/>
    </xf>
    <xf numFmtId="164" fontId="61" fillId="19" borderId="2" xfId="0" applyFont="true" applyBorder="true" applyAlignment="true" applyProtection="false">
      <alignment horizontal="left" vertical="center" textRotation="0" wrapText="true" indent="0" shrinkToFit="false"/>
      <protection locked="true" hidden="false"/>
    </xf>
    <xf numFmtId="164" fontId="36" fillId="15" borderId="9" xfId="0" applyFont="true" applyBorder="true" applyAlignment="true" applyProtection="false">
      <alignment horizontal="right" vertical="center" textRotation="0" wrapText="false" indent="0" shrinkToFit="false"/>
      <protection locked="true" hidden="false"/>
    </xf>
    <xf numFmtId="167" fontId="36" fillId="15" borderId="8" xfId="0" applyFont="true" applyBorder="true" applyAlignment="true" applyProtection="false">
      <alignment horizontal="center" vertical="center" textRotation="0" wrapText="false" indent="0" shrinkToFit="false"/>
      <protection locked="true" hidden="false"/>
    </xf>
    <xf numFmtId="164" fontId="29" fillId="15" borderId="8" xfId="0" applyFont="true" applyBorder="true" applyAlignment="true" applyProtection="false">
      <alignment horizontal="left" vertical="center" textRotation="0" wrapText="false" indent="0" shrinkToFit="false"/>
      <protection locked="true" hidden="false"/>
    </xf>
    <xf numFmtId="164" fontId="36" fillId="15" borderId="0" xfId="0" applyFont="true" applyBorder="true" applyAlignment="true" applyProtection="false">
      <alignment horizontal="left" vertical="center" textRotation="0" wrapText="false" indent="0" shrinkToFit="false"/>
      <protection locked="true" hidden="false"/>
    </xf>
    <xf numFmtId="164" fontId="33" fillId="17" borderId="10" xfId="0" applyFont="true" applyBorder="true" applyAlignment="true" applyProtection="false">
      <alignment horizontal="left" vertical="center" textRotation="0" wrapText="false" indent="0" shrinkToFit="false"/>
      <protection locked="true" hidden="false"/>
    </xf>
    <xf numFmtId="167" fontId="65" fillId="17" borderId="2" xfId="0" applyFont="true" applyBorder="true" applyAlignment="true" applyProtection="false">
      <alignment horizontal="center" vertical="center" textRotation="0" wrapText="false" indent="0" shrinkToFit="false"/>
      <protection locked="true" hidden="false"/>
    </xf>
    <xf numFmtId="164" fontId="66" fillId="17" borderId="2" xfId="0" applyFont="true" applyBorder="true" applyAlignment="true" applyProtection="false">
      <alignment horizontal="right" vertical="center" textRotation="0" wrapText="false" indent="0" shrinkToFit="false"/>
      <protection locked="true" hidden="false"/>
    </xf>
    <xf numFmtId="167" fontId="38" fillId="17" borderId="2" xfId="0" applyFont="true" applyBorder="true" applyAlignment="true" applyProtection="false">
      <alignment horizontal="center" vertical="center" textRotation="0" wrapText="false" indent="0" shrinkToFit="false"/>
      <protection locked="true" hidden="false"/>
    </xf>
    <xf numFmtId="164" fontId="66" fillId="17" borderId="2" xfId="0" applyFont="true" applyBorder="true" applyAlignment="true" applyProtection="false">
      <alignment horizontal="center" vertical="center" textRotation="0" wrapText="false" indent="0" shrinkToFit="false"/>
      <protection locked="true" hidden="false"/>
    </xf>
    <xf numFmtId="164" fontId="67" fillId="26" borderId="0" xfId="0" applyFont="true" applyBorder="false" applyAlignment="true" applyProtection="false">
      <alignment horizontal="left" vertical="center" textRotation="0" wrapText="false" indent="0" shrinkToFit="false"/>
      <protection locked="true" hidden="false"/>
    </xf>
    <xf numFmtId="164" fontId="68" fillId="26" borderId="0" xfId="0" applyFont="true" applyBorder="false" applyAlignment="true" applyProtection="false">
      <alignment horizontal="left" vertical="center" textRotation="0" wrapText="false" indent="0" shrinkToFit="false"/>
      <protection locked="true" hidden="false"/>
    </xf>
    <xf numFmtId="164" fontId="69" fillId="26" borderId="0" xfId="0" applyFont="true" applyBorder="false" applyAlignment="true" applyProtection="false">
      <alignment horizontal="general" vertical="bottom" textRotation="0" wrapText="false" indent="0" shrinkToFit="false"/>
      <protection locked="true" hidden="false"/>
    </xf>
    <xf numFmtId="164" fontId="70" fillId="26" borderId="0" xfId="0" applyFont="true" applyBorder="false" applyAlignment="true" applyProtection="false">
      <alignment horizontal="left" vertical="center"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71" fillId="27" borderId="0" xfId="0" applyFont="true" applyBorder="false" applyAlignment="true" applyProtection="false">
      <alignment horizontal="left" vertical="center" textRotation="0" wrapText="false" indent="0" shrinkToFit="false"/>
      <protection locked="true" hidden="false"/>
    </xf>
    <xf numFmtId="164" fontId="72" fillId="27" borderId="0" xfId="0" applyFont="true" applyBorder="false" applyAlignment="true" applyProtection="false">
      <alignment horizontal="center" vertical="center" textRotation="0" wrapText="false" indent="0" shrinkToFit="false"/>
      <protection locked="true" hidden="false"/>
    </xf>
    <xf numFmtId="164" fontId="73" fillId="27" borderId="0" xfId="0" applyFont="true" applyBorder="false" applyAlignment="true" applyProtection="false">
      <alignment horizontal="center" vertical="center" textRotation="0" wrapText="false" indent="0" shrinkToFit="false"/>
      <protection locked="true" hidden="false"/>
    </xf>
    <xf numFmtId="164" fontId="74" fillId="0" borderId="0" xfId="0" applyFont="true" applyBorder="false" applyAlignment="true" applyProtection="false">
      <alignment horizontal="left" vertical="center" textRotation="0" wrapText="false" indent="0" shrinkToFit="false"/>
      <protection locked="true" hidden="false"/>
    </xf>
    <xf numFmtId="169" fontId="74" fillId="0" borderId="0" xfId="0" applyFont="true" applyBorder="false" applyAlignment="true" applyProtection="false">
      <alignment horizontal="right" vertical="center" textRotation="0" wrapText="false" indent="0" shrinkToFit="false"/>
      <protection locked="true" hidden="false"/>
    </xf>
    <xf numFmtId="169" fontId="74" fillId="0" borderId="0" xfId="0" applyFont="true" applyBorder="false" applyAlignment="true" applyProtection="false">
      <alignment horizontal="center" vertical="center" textRotation="0" wrapText="false" indent="0" shrinkToFit="false"/>
      <protection locked="true" hidden="false"/>
    </xf>
    <xf numFmtId="164" fontId="75" fillId="0" borderId="0" xfId="0" applyFont="true" applyBorder="false" applyAlignment="true" applyProtection="false">
      <alignment horizontal="left" vertical="center" textRotation="0" wrapText="false" indent="0" shrinkToFit="false"/>
      <protection locked="true" hidden="false"/>
    </xf>
    <xf numFmtId="164" fontId="74" fillId="28" borderId="0" xfId="0" applyFont="true" applyBorder="false" applyAlignment="true" applyProtection="false">
      <alignment horizontal="left" vertical="center" textRotation="0" wrapText="false" indent="0" shrinkToFit="false"/>
      <protection locked="true" hidden="false"/>
    </xf>
    <xf numFmtId="169" fontId="74" fillId="28" borderId="0" xfId="0" applyFont="true" applyBorder="false" applyAlignment="true" applyProtection="false">
      <alignment horizontal="right" vertical="center" textRotation="0" wrapText="false" indent="0" shrinkToFit="false"/>
      <protection locked="true" hidden="false"/>
    </xf>
    <xf numFmtId="164" fontId="67" fillId="3" borderId="0" xfId="0" applyFont="true" applyBorder="false" applyAlignment="true" applyProtection="false">
      <alignment horizontal="general" vertical="bottom" textRotation="0" wrapText="false" indent="0" shrinkToFit="false"/>
      <protection locked="true" hidden="false"/>
    </xf>
    <xf numFmtId="164" fontId="68" fillId="3" borderId="0" xfId="0" applyFont="true" applyBorder="false" applyAlignment="true" applyProtection="false">
      <alignment horizontal="center" vertical="bottom" textRotation="0" wrapText="false" indent="0" shrinkToFit="false"/>
      <protection locked="true" hidden="false"/>
    </xf>
    <xf numFmtId="164" fontId="69" fillId="3" borderId="0" xfId="0" applyFont="true" applyBorder="false" applyAlignment="true" applyProtection="false">
      <alignment horizontal="general" vertical="bottom" textRotation="0" wrapText="false" indent="0" shrinkToFit="false"/>
      <protection locked="true" hidden="false"/>
    </xf>
    <xf numFmtId="164" fontId="76" fillId="3" borderId="0" xfId="0" applyFont="true" applyBorder="false" applyAlignment="true" applyProtection="false">
      <alignment horizontal="general" vertical="bottom" textRotation="0" wrapText="false" indent="0" shrinkToFit="false"/>
      <protection locked="true" hidden="false"/>
    </xf>
    <xf numFmtId="170" fontId="69" fillId="0" borderId="0" xfId="0" applyFont="true" applyBorder="false" applyAlignment="true" applyProtection="false">
      <alignment horizontal="center" vertical="bottom" textRotation="0" wrapText="false" indent="0" shrinkToFit="false"/>
      <protection locked="true" hidden="false"/>
    </xf>
    <xf numFmtId="164" fontId="77" fillId="29" borderId="0" xfId="0" applyFont="true" applyBorder="false" applyAlignment="true" applyProtection="false">
      <alignment horizontal="general" vertical="bottom" textRotation="0" wrapText="false" indent="0" shrinkToFit="false"/>
      <protection locked="true" hidden="false"/>
    </xf>
    <xf numFmtId="164" fontId="78" fillId="29" borderId="0" xfId="0" applyFont="true" applyBorder="false" applyAlignment="true" applyProtection="false">
      <alignment horizontal="center" vertical="bottom" textRotation="0" wrapText="false" indent="0" shrinkToFit="false"/>
      <protection locked="true" hidden="false"/>
    </xf>
    <xf numFmtId="164" fontId="79" fillId="29" borderId="0" xfId="0" applyFont="true" applyBorder="false" applyAlignment="true" applyProtection="false">
      <alignment horizontal="center" vertical="bottom" textRotation="0" wrapText="false" indent="0" shrinkToFit="false"/>
      <protection locked="true" hidden="false"/>
    </xf>
    <xf numFmtId="164" fontId="80"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80" fillId="28" borderId="0" xfId="0" applyFont="true" applyBorder="false" applyAlignment="true" applyProtection="false">
      <alignment horizontal="general" vertical="bottom" textRotation="0" wrapText="false" indent="0" shrinkToFit="false"/>
      <protection locked="true" hidden="false"/>
    </xf>
    <xf numFmtId="170" fontId="69" fillId="28" borderId="0" xfId="0" applyFont="true" applyBorder="false" applyAlignment="true" applyProtection="false">
      <alignment horizontal="center" vertical="bottom" textRotation="0" wrapText="false" indent="0" shrinkToFit="false"/>
      <protection locked="true" hidden="false"/>
    </xf>
    <xf numFmtId="164" fontId="67" fillId="30" borderId="0" xfId="0" applyFont="true" applyBorder="false" applyAlignment="true" applyProtection="false">
      <alignment horizontal="general" vertical="bottom" textRotation="0" wrapText="false" indent="0" shrinkToFit="false"/>
      <protection locked="true" hidden="false"/>
    </xf>
    <xf numFmtId="164" fontId="68" fillId="30" borderId="0" xfId="0" applyFont="true" applyBorder="false" applyAlignment="true" applyProtection="false">
      <alignment horizontal="center" vertical="bottom" textRotation="0" wrapText="false" indent="0" shrinkToFit="false"/>
      <protection locked="true" hidden="false"/>
    </xf>
    <xf numFmtId="164" fontId="69" fillId="30" borderId="0" xfId="0" applyFont="true" applyBorder="false" applyAlignment="true" applyProtection="false">
      <alignment horizontal="general" vertical="bottom" textRotation="0" wrapText="false" indent="0" shrinkToFit="false"/>
      <protection locked="true" hidden="false"/>
    </xf>
    <xf numFmtId="164" fontId="81" fillId="30" borderId="0" xfId="0" applyFont="true" applyBorder="false" applyAlignment="tru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center" vertical="bottom" textRotation="0" wrapText="false" indent="0" shrinkToFit="false"/>
      <protection locked="true" hidden="false"/>
    </xf>
    <xf numFmtId="164" fontId="82" fillId="27" borderId="0" xfId="0" applyFont="true" applyBorder="false" applyAlignment="true" applyProtection="false">
      <alignment horizontal="general" vertical="bottom" textRotation="0" wrapText="false" indent="0" shrinkToFit="false"/>
      <protection locked="true" hidden="false"/>
    </xf>
    <xf numFmtId="164" fontId="78" fillId="27" borderId="0" xfId="0" applyFont="true" applyBorder="false" applyAlignment="true" applyProtection="false">
      <alignment horizontal="center" vertical="bottom" textRotation="0" wrapText="false" indent="0" shrinkToFit="false"/>
      <protection locked="true" hidden="false"/>
    </xf>
    <xf numFmtId="164" fontId="79" fillId="27" borderId="0" xfId="0" applyFont="true" applyBorder="false" applyAlignment="true" applyProtection="false">
      <alignment horizontal="center" vertical="bottom" textRotation="0" wrapText="false" indent="0" shrinkToFit="false"/>
      <protection locked="true" hidden="false"/>
    </xf>
    <xf numFmtId="164" fontId="0" fillId="27" borderId="0" xfId="0" applyFont="false" applyBorder="false" applyAlignment="true" applyProtection="false">
      <alignment horizontal="general" vertical="bottom" textRotation="0" wrapText="false" indent="0" shrinkToFit="false"/>
      <protection locked="true" hidden="false"/>
    </xf>
    <xf numFmtId="164" fontId="83" fillId="27" borderId="0" xfId="0" applyFont="true" applyBorder="false" applyAlignment="true" applyProtection="false">
      <alignment horizontal="center" vertical="bottom" textRotation="0" wrapText="false" indent="0" shrinkToFit="false"/>
      <protection locked="true" hidden="false"/>
    </xf>
    <xf numFmtId="164" fontId="84" fillId="0" borderId="0" xfId="0" applyFont="true" applyBorder="false" applyAlignment="true" applyProtection="false">
      <alignment horizontal="center" vertical="bottom" textRotation="0" wrapText="false" indent="0" shrinkToFit="false"/>
      <protection locked="true" hidden="false"/>
    </xf>
    <xf numFmtId="170" fontId="0" fillId="28" borderId="0" xfId="0" applyFont="false" applyBorder="false" applyAlignment="true" applyProtection="false">
      <alignment horizontal="center" vertical="bottom" textRotation="0" wrapText="false" indent="0" shrinkToFit="false"/>
      <protection locked="true" hidden="false"/>
    </xf>
    <xf numFmtId="166" fontId="0" fillId="0" borderId="0" xfId="0" applyFont="true" applyBorder="false" applyAlignment="true" applyProtection="false">
      <alignment horizontal="general" vertical="bottom" textRotation="0" wrapText="false" indent="0" shrinkToFit="false"/>
      <protection locked="true" hidden="false"/>
    </xf>
    <xf numFmtId="164" fontId="85" fillId="0" borderId="0" xfId="0" applyFont="true" applyBorder="false" applyAlignment="true" applyProtection="false">
      <alignment horizontal="general" vertical="bottom" textRotation="0" wrapText="false" indent="0" shrinkToFit="false"/>
      <protection locked="true" hidden="false"/>
    </xf>
    <xf numFmtId="164" fontId="86" fillId="31" borderId="0" xfId="0" applyFont="true" applyBorder="false" applyAlignment="true" applyProtection="false">
      <alignment horizontal="left" vertical="center" textRotation="0" wrapText="false" indent="0" shrinkToFit="false"/>
      <protection locked="true" hidden="false"/>
    </xf>
    <xf numFmtId="164" fontId="87" fillId="31" borderId="0" xfId="0" applyFont="true" applyBorder="false" applyAlignment="true" applyProtection="false">
      <alignment horizontal="left" vertical="center" textRotation="0" wrapText="false" indent="0" shrinkToFit="false"/>
      <protection locked="true" hidden="false"/>
    </xf>
    <xf numFmtId="164" fontId="0" fillId="31" borderId="0" xfId="0" applyFont="false" applyBorder="false" applyAlignment="true" applyProtection="false">
      <alignment horizontal="general" vertical="bottom" textRotation="0" wrapText="false" indent="0" shrinkToFit="false"/>
      <protection locked="true" hidden="false"/>
    </xf>
    <xf numFmtId="164" fontId="88" fillId="31" borderId="0" xfId="0" applyFont="true" applyBorder="false" applyAlignment="true" applyProtection="false">
      <alignment horizontal="left" vertical="center" textRotation="0" wrapText="false" indent="0" shrinkToFit="false"/>
      <protection locked="true" hidden="false"/>
    </xf>
    <xf numFmtId="164" fontId="89" fillId="27" borderId="0" xfId="0" applyFont="true" applyBorder="false" applyAlignment="true" applyProtection="false">
      <alignment horizontal="left" vertical="center" textRotation="0" wrapText="false" indent="0" shrinkToFit="false"/>
      <protection locked="true" hidden="false"/>
    </xf>
    <xf numFmtId="164" fontId="90" fillId="0" borderId="0" xfId="0" applyFont="true" applyBorder="false" applyAlignment="true" applyProtection="false">
      <alignment horizontal="left" vertical="center" textRotation="0" wrapText="false" indent="0" shrinkToFit="false"/>
      <protection locked="true" hidden="false"/>
    </xf>
    <xf numFmtId="169" fontId="90" fillId="0" borderId="0" xfId="0" applyFont="true" applyBorder="false" applyAlignment="true" applyProtection="false">
      <alignment horizontal="center" vertical="center" textRotation="0" wrapText="false" indent="0" shrinkToFit="false"/>
      <protection locked="true" hidden="false"/>
    </xf>
    <xf numFmtId="164" fontId="91" fillId="0" borderId="0" xfId="0" applyFont="true" applyBorder="false" applyAlignment="true" applyProtection="false">
      <alignment horizontal="left" vertical="center" textRotation="0" wrapText="false" indent="0" shrinkToFit="false"/>
      <protection locked="true" hidden="false"/>
    </xf>
    <xf numFmtId="164" fontId="90" fillId="0" borderId="0" xfId="0" applyFont="true" applyBorder="false" applyAlignment="true" applyProtection="false">
      <alignment horizontal="center" vertical="center" textRotation="0" wrapText="false" indent="0" shrinkToFit="false"/>
      <protection locked="true" hidden="false"/>
    </xf>
    <xf numFmtId="164" fontId="92" fillId="0" borderId="0" xfId="0" applyFont="true" applyBorder="false" applyAlignment="true" applyProtection="false">
      <alignment horizontal="left" vertical="center" textRotation="0" wrapText="false" indent="0" shrinkToFit="false"/>
      <protection locked="true" hidden="false"/>
    </xf>
    <xf numFmtId="164" fontId="67" fillId="30" borderId="0" xfId="0" applyFont="true" applyBorder="false" applyAlignment="true" applyProtection="false">
      <alignment horizontal="general" vertical="center" textRotation="0" wrapText="false" indent="0" shrinkToFit="false"/>
      <protection locked="true" hidden="false"/>
    </xf>
    <xf numFmtId="164" fontId="68" fillId="30" borderId="0" xfId="0" applyFont="true" applyBorder="false" applyAlignment="true" applyProtection="false">
      <alignment horizontal="general" vertical="center" textRotation="0" wrapText="false" indent="0" shrinkToFit="false"/>
      <protection locked="true" hidden="false"/>
    </xf>
    <xf numFmtId="164" fontId="69" fillId="30" borderId="0" xfId="0" applyFont="true" applyBorder="false" applyAlignment="true" applyProtection="false">
      <alignment horizontal="general" vertical="center" textRotation="0" wrapText="false" indent="0" shrinkToFit="false"/>
      <protection locked="true" hidden="false"/>
    </xf>
    <xf numFmtId="164" fontId="93" fillId="27" borderId="0" xfId="0" applyFont="true" applyBorder="false" applyAlignment="true" applyProtection="false">
      <alignment horizontal="center" vertical="bottom" textRotation="0" wrapText="false" indent="0" shrinkToFit="false"/>
      <protection locked="true" hidden="false"/>
    </xf>
    <xf numFmtId="164" fontId="72" fillId="27" borderId="0" xfId="0" applyFont="true" applyBorder="false" applyAlignment="true" applyProtection="false">
      <alignment horizontal="center" vertical="bottom" textRotation="0" wrapText="false" indent="0" shrinkToFit="false"/>
      <protection locked="true" hidden="false"/>
    </xf>
    <xf numFmtId="164" fontId="94" fillId="19" borderId="0" xfId="0" applyFont="true" applyBorder="false" applyAlignment="true" applyProtection="false">
      <alignment horizontal="general" vertical="bottom" textRotation="0" wrapText="false" indent="0" shrinkToFit="false"/>
      <protection locked="true" hidden="false"/>
    </xf>
    <xf numFmtId="170" fontId="94" fillId="19" borderId="0" xfId="0" applyFont="true" applyBorder="false" applyAlignment="true" applyProtection="false">
      <alignment horizontal="center" vertical="bottom" textRotation="0" wrapText="false" indent="0" shrinkToFit="false"/>
      <protection locked="true" hidden="false"/>
    </xf>
    <xf numFmtId="164" fontId="94" fillId="28" borderId="0" xfId="0" applyFont="true" applyBorder="false" applyAlignment="true" applyProtection="false">
      <alignment horizontal="general" vertical="bottom" textRotation="0" wrapText="false" indent="0" shrinkToFit="false"/>
      <protection locked="true" hidden="false"/>
    </xf>
    <xf numFmtId="170" fontId="94" fillId="28" borderId="0" xfId="0" applyFont="true" applyBorder="false" applyAlignment="true" applyProtection="false">
      <alignment horizontal="center" vertical="bottom" textRotation="0" wrapText="false" indent="0" shrinkToFit="false"/>
      <protection locked="true" hidden="false"/>
    </xf>
    <xf numFmtId="169" fontId="94" fillId="28" borderId="0" xfId="0" applyFont="true" applyBorder="false" applyAlignment="true" applyProtection="false">
      <alignment horizontal="center" vertical="bottom" textRotation="0" wrapText="false" indent="0" shrinkToFit="false"/>
      <protection locked="true" hidden="false"/>
    </xf>
    <xf numFmtId="169" fontId="94" fillId="19" borderId="0" xfId="0" applyFont="true" applyBorder="false" applyAlignment="true" applyProtection="false">
      <alignment horizontal="center" vertical="bottom" textRotation="0" wrapText="false" indent="0" shrinkToFit="false"/>
      <protection locked="true" hidden="false"/>
    </xf>
    <xf numFmtId="164" fontId="95" fillId="0" borderId="0" xfId="0" applyFont="true" applyBorder="false" applyAlignment="true" applyProtection="false">
      <alignment horizontal="general" vertical="bottom" textRotation="0" wrapText="false" indent="0" shrinkToFit="false"/>
      <protection locked="true" hidden="false"/>
    </xf>
    <xf numFmtId="164" fontId="73" fillId="29" borderId="0" xfId="0" applyFont="true" applyBorder="false" applyAlignment="true" applyProtection="false">
      <alignment horizontal="left" vertical="center" textRotation="0" wrapText="false" indent="0" shrinkToFit="false"/>
      <protection locked="true" hidden="false"/>
    </xf>
    <xf numFmtId="164" fontId="73" fillId="29" borderId="0" xfId="0" applyFont="true" applyBorder="false" applyAlignment="true" applyProtection="false">
      <alignment horizontal="center" vertical="center" textRotation="0" wrapText="false" indent="0" shrinkToFit="false"/>
      <protection locked="true" hidden="false"/>
    </xf>
    <xf numFmtId="164" fontId="90" fillId="28" borderId="0" xfId="0" applyFont="true" applyBorder="false" applyAlignment="true" applyProtection="false">
      <alignment horizontal="left" vertical="center" textRotation="0" wrapText="false" indent="0" shrinkToFit="false"/>
      <protection locked="true" hidden="false"/>
    </xf>
    <xf numFmtId="169" fontId="90" fillId="28" borderId="0" xfId="0" applyFont="true" applyBorder="false" applyAlignment="true" applyProtection="false">
      <alignment horizontal="center" vertical="center" textRotation="0" wrapText="false" indent="0" shrinkToFit="false"/>
      <protection locked="true" hidden="false"/>
    </xf>
    <xf numFmtId="171" fontId="0" fillId="0" borderId="0" xfId="0" applyFont="true" applyBorder="false" applyAlignment="true" applyProtection="false">
      <alignment horizontal="general" vertical="bottom" textRotation="0" wrapText="false" indent="0" shrinkToFit="false"/>
      <protection locked="true" hidden="false"/>
    </xf>
    <xf numFmtId="169" fontId="90" fillId="0" borderId="0" xfId="0" applyFont="true" applyBorder="false" applyAlignment="true" applyProtection="false">
      <alignment horizontal="right" vertical="center" textRotation="0" wrapText="false" indent="0" shrinkToFit="false"/>
      <protection locked="true" hidden="false"/>
    </xf>
    <xf numFmtId="169" fontId="96" fillId="0" borderId="0" xfId="0" applyFont="true" applyBorder="false" applyAlignment="true" applyProtection="false">
      <alignment horizontal="right" vertical="center" textRotation="0" wrapText="false" indent="0" shrinkToFit="false"/>
      <protection locked="true" hidden="false"/>
    </xf>
    <xf numFmtId="164" fontId="72" fillId="29" borderId="0" xfId="0" applyFont="true" applyBorder="false" applyAlignment="true" applyProtection="false">
      <alignment horizontal="center" vertical="bottom" textRotation="0" wrapText="false" indent="0" shrinkToFit="false"/>
      <protection locked="true" hidden="false"/>
    </xf>
    <xf numFmtId="164" fontId="67" fillId="32" borderId="0" xfId="0" applyFont="true" applyBorder="false" applyAlignment="true" applyProtection="false">
      <alignment horizontal="general" vertical="bottom" textRotation="0" wrapText="false" indent="0" shrinkToFit="false"/>
      <protection locked="true" hidden="false"/>
    </xf>
    <xf numFmtId="164" fontId="97" fillId="32" borderId="0" xfId="0" applyFont="true" applyBorder="false" applyAlignment="true" applyProtection="false">
      <alignment horizontal="general" vertical="bottom" textRotation="0" wrapText="false" indent="0" shrinkToFit="false"/>
      <protection locked="true" hidden="false"/>
    </xf>
    <xf numFmtId="164" fontId="69" fillId="32" borderId="0" xfId="0" applyFont="true" applyBorder="false" applyAlignment="true" applyProtection="false">
      <alignment horizontal="general" vertical="bottom" textRotation="0" wrapText="false" indent="0" shrinkToFit="false"/>
      <protection locked="true" hidden="false"/>
    </xf>
    <xf numFmtId="164" fontId="78" fillId="33" borderId="0" xfId="0" applyFont="true" applyBorder="false" applyAlignment="true" applyProtection="false">
      <alignment horizontal="general" vertical="bottom" textRotation="0" wrapText="false" indent="0" shrinkToFit="false"/>
      <protection locked="true" hidden="false"/>
    </xf>
    <xf numFmtId="164" fontId="78" fillId="33" borderId="0" xfId="0" applyFont="true" applyBorder="false" applyAlignment="true" applyProtection="false">
      <alignment horizontal="center" vertical="bottom" textRotation="0" wrapText="false" indent="0" shrinkToFit="false"/>
      <protection locked="true" hidden="false"/>
    </xf>
    <xf numFmtId="164" fontId="98" fillId="34" borderId="0" xfId="0" applyFont="true" applyBorder="false" applyAlignment="true" applyProtection="false">
      <alignment horizontal="general" vertical="bottom" textRotation="0" wrapText="false" indent="0" shrinkToFit="false"/>
      <protection locked="true" hidden="false"/>
    </xf>
    <xf numFmtId="164" fontId="69" fillId="34" borderId="0" xfId="0" applyFont="true" applyBorder="false" applyAlignment="true" applyProtection="false">
      <alignment horizontal="general" vertical="bottom" textRotation="0" wrapText="false" indent="0" shrinkToFit="false"/>
      <protection locked="true" hidden="false"/>
    </xf>
    <xf numFmtId="169" fontId="69" fillId="0" borderId="0" xfId="0" applyFont="true" applyBorder="false" applyAlignment="true" applyProtection="false">
      <alignment horizontal="center" vertical="bottom" textRotation="0" wrapText="false" indent="0" shrinkToFit="false"/>
      <protection locked="true" hidden="false"/>
    </xf>
    <xf numFmtId="164" fontId="98" fillId="34" borderId="0" xfId="0" applyFont="true" applyBorder="false" applyAlignment="true" applyProtection="false">
      <alignment horizontal="left" vertical="center" textRotation="0" wrapText="false" indent="0" shrinkToFit="false"/>
      <protection locked="true" hidden="false"/>
    </xf>
    <xf numFmtId="164" fontId="0" fillId="34" borderId="0" xfId="0" applyFont="false" applyBorder="false" applyAlignment="true" applyProtection="false">
      <alignment horizontal="general" vertical="bottom" textRotation="0" wrapText="false" indent="0" shrinkToFit="false"/>
      <protection locked="true" hidden="false"/>
    </xf>
    <xf numFmtId="170" fontId="74" fillId="28" borderId="0" xfId="0" applyFont="true" applyBorder="false" applyAlignment="true" applyProtection="false">
      <alignment horizontal="center" vertical="center" textRotation="0" wrapText="false" indent="0" shrinkToFit="false"/>
      <protection locked="true" hidden="false"/>
    </xf>
    <xf numFmtId="169" fontId="74" fillId="28" borderId="0" xfId="0" applyFont="true" applyBorder="false" applyAlignment="true" applyProtection="false">
      <alignment horizontal="center" vertical="center" textRotation="0" wrapText="false" indent="0" shrinkToFit="false"/>
      <protection locked="true" hidden="false"/>
    </xf>
    <xf numFmtId="164" fontId="67" fillId="6" borderId="0" xfId="0" applyFont="true" applyBorder="false" applyAlignment="true" applyProtection="false">
      <alignment horizontal="general" vertical="bottom" textRotation="0" wrapText="false" indent="0" shrinkToFit="false"/>
      <protection locked="true" hidden="false"/>
    </xf>
    <xf numFmtId="164" fontId="99" fillId="6" borderId="0" xfId="0" applyFont="true" applyBorder="false" applyAlignment="true" applyProtection="false">
      <alignment horizontal="center" vertical="bottom" textRotation="0" wrapText="false" indent="0" shrinkToFit="false"/>
      <protection locked="true" hidden="false"/>
    </xf>
    <xf numFmtId="164" fontId="69" fillId="6" borderId="0" xfId="0" applyFont="true" applyBorder="false" applyAlignment="true" applyProtection="false">
      <alignment horizontal="general" vertical="bottom" textRotation="0" wrapText="false" indent="0" shrinkToFit="false"/>
      <protection locked="true" hidden="false"/>
    </xf>
    <xf numFmtId="164" fontId="78" fillId="35" borderId="0" xfId="0" applyFont="true" applyBorder="false" applyAlignment="true" applyProtection="false">
      <alignment horizontal="general" vertical="bottom" textRotation="0" wrapText="false" indent="0" shrinkToFit="false"/>
      <protection locked="true" hidden="false"/>
    </xf>
    <xf numFmtId="164" fontId="78" fillId="35" borderId="0" xfId="0" applyFont="true" applyBorder="false" applyAlignment="true" applyProtection="false">
      <alignment horizontal="center" vertical="bottom" textRotation="0" wrapText="false" indent="0" shrinkToFit="false"/>
      <protection locked="true" hidden="false"/>
    </xf>
    <xf numFmtId="164" fontId="100" fillId="36" borderId="0" xfId="0" applyFont="true" applyBorder="false" applyAlignment="true" applyProtection="false">
      <alignment horizontal="general" vertical="bottom" textRotation="0" wrapText="false" indent="0" shrinkToFit="false"/>
      <protection locked="true" hidden="false"/>
    </xf>
    <xf numFmtId="164" fontId="69" fillId="36" borderId="0" xfId="0" applyFont="true" applyBorder="false" applyAlignment="true" applyProtection="false">
      <alignment horizontal="general" vertical="bottom" textRotation="0" wrapText="false" indent="0" shrinkToFit="false"/>
      <protection locked="true" hidden="false"/>
    </xf>
    <xf numFmtId="164" fontId="69" fillId="28" borderId="0" xfId="0" applyFont="true" applyBorder="false" applyAlignment="true" applyProtection="false">
      <alignment horizontal="general" vertical="bottom" textRotation="0" wrapText="false" indent="0" shrinkToFit="false"/>
      <protection locked="true" hidden="false"/>
    </xf>
    <xf numFmtId="164" fontId="67" fillId="37" borderId="0" xfId="0" applyFont="true" applyBorder="false" applyAlignment="true" applyProtection="false">
      <alignment horizontal="general" vertical="bottom" textRotation="0" wrapText="false" indent="0" shrinkToFit="false"/>
      <protection locked="true" hidden="false"/>
    </xf>
    <xf numFmtId="164" fontId="68" fillId="37" borderId="0" xfId="0" applyFont="true" applyBorder="false" applyAlignment="true" applyProtection="false">
      <alignment horizontal="center" vertical="bottom" textRotation="0" wrapText="false" indent="0" shrinkToFit="false"/>
      <protection locked="true" hidden="false"/>
    </xf>
    <xf numFmtId="164" fontId="69" fillId="37" borderId="0" xfId="0" applyFont="true" applyBorder="false" applyAlignment="true" applyProtection="false">
      <alignment horizontal="general" vertical="bottom" textRotation="0" wrapText="false" indent="0" shrinkToFit="false"/>
      <protection locked="true" hidden="false"/>
    </xf>
    <xf numFmtId="164" fontId="101" fillId="37" borderId="0" xfId="0" applyFont="true" applyBorder="false" applyAlignment="true" applyProtection="false">
      <alignment horizontal="general" vertical="bottom" textRotation="0" wrapText="false" indent="0" shrinkToFit="false"/>
      <protection locked="true" hidden="false"/>
    </xf>
    <xf numFmtId="164" fontId="78" fillId="38" borderId="0" xfId="0" applyFont="true" applyBorder="false" applyAlignment="true" applyProtection="false">
      <alignment horizontal="general" vertical="bottom" textRotation="0" wrapText="false" indent="0" shrinkToFit="false"/>
      <protection locked="true" hidden="false"/>
    </xf>
    <xf numFmtId="164" fontId="78" fillId="38" borderId="0" xfId="0" applyFont="true" applyBorder="false" applyAlignment="true" applyProtection="false">
      <alignment horizontal="center" vertical="bottom" textRotation="0" wrapText="false" indent="0" shrinkToFit="false"/>
      <protection locked="true" hidden="false"/>
    </xf>
    <xf numFmtId="164" fontId="102" fillId="39" borderId="0" xfId="0" applyFont="true" applyBorder="false" applyAlignment="true" applyProtection="false">
      <alignment horizontal="general" vertical="bottom" textRotation="0" wrapText="false" indent="0" shrinkToFit="false"/>
      <protection locked="true" hidden="false"/>
    </xf>
    <xf numFmtId="164" fontId="69" fillId="39" borderId="0" xfId="0" applyFont="true" applyBorder="false" applyAlignment="true" applyProtection="false">
      <alignment horizontal="general" vertical="bottom" textRotation="0" wrapText="false" indent="0" shrinkToFit="false"/>
      <protection locked="true" hidden="false"/>
    </xf>
    <xf numFmtId="169" fontId="69" fillId="28" borderId="0" xfId="0" applyFont="true" applyBorder="false" applyAlignment="true" applyProtection="false">
      <alignment horizontal="center" vertical="bottom" textRotation="0" wrapText="false" indent="0" shrinkToFit="false"/>
      <protection locked="true" hidden="false"/>
    </xf>
    <xf numFmtId="164" fontId="103" fillId="0" borderId="0" xfId="0" applyFont="true" applyBorder="false" applyAlignment="true" applyProtection="false">
      <alignment horizontal="left" vertical="center" textRotation="0" wrapText="false" indent="0" shrinkToFit="false"/>
      <protection locked="true" hidden="false"/>
    </xf>
    <xf numFmtId="164" fontId="86" fillId="14" borderId="0" xfId="0" applyFont="true" applyBorder="false" applyAlignment="true" applyProtection="false">
      <alignment horizontal="left" vertical="center" textRotation="0" wrapText="false" indent="0" shrinkToFit="false"/>
      <protection locked="true" hidden="false"/>
    </xf>
    <xf numFmtId="164" fontId="104" fillId="14" borderId="0" xfId="0" applyFont="true" applyBorder="false" applyAlignment="true" applyProtection="false">
      <alignment horizontal="left" vertical="center"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88" fillId="14" borderId="0" xfId="0" applyFont="true" applyBorder="false" applyAlignment="true" applyProtection="false">
      <alignment horizontal="left" vertical="center" textRotation="0" wrapText="false" indent="0" shrinkToFit="false"/>
      <protection locked="true" hidden="false"/>
    </xf>
    <xf numFmtId="164" fontId="105" fillId="7" borderId="0" xfId="0" applyFont="true" applyBorder="false" applyAlignment="true" applyProtection="false">
      <alignment horizontal="left" vertical="center" textRotation="0" wrapText="false" indent="0" shrinkToFit="false"/>
      <protection locked="true" hidden="false"/>
    </xf>
    <xf numFmtId="164" fontId="73" fillId="7" borderId="0" xfId="0" applyFont="true" applyBorder="false" applyAlignment="true" applyProtection="false">
      <alignment horizontal="center" vertical="center" textRotation="0" wrapText="false" indent="0" shrinkToFit="false"/>
      <protection locked="true" hidden="false"/>
    </xf>
    <xf numFmtId="164" fontId="92" fillId="0" borderId="0" xfId="0" applyFont="true" applyBorder="false" applyAlignment="true" applyProtection="false">
      <alignment horizontal="center" vertical="center" textRotation="0" wrapText="false" indent="0" shrinkToFit="false"/>
      <protection locked="true" hidden="false"/>
    </xf>
    <xf numFmtId="164" fontId="106" fillId="0" borderId="0" xfId="0" applyFont="true" applyBorder="false" applyAlignment="true" applyProtection="false">
      <alignment horizontal="left" vertical="center" textRotation="0" wrapText="false" indent="0" shrinkToFit="false"/>
      <protection locked="true" hidden="false"/>
    </xf>
    <xf numFmtId="164" fontId="67" fillId="40" borderId="0" xfId="0" applyFont="true" applyBorder="false" applyAlignment="true" applyProtection="false">
      <alignment horizontal="general" vertical="bottom" textRotation="0" wrapText="false" indent="0" shrinkToFit="false"/>
      <protection locked="true" hidden="false"/>
    </xf>
    <xf numFmtId="164" fontId="107" fillId="40" borderId="0" xfId="0" applyFont="true" applyBorder="false" applyAlignment="true" applyProtection="false">
      <alignment horizontal="center" vertical="bottom" textRotation="0" wrapText="false" indent="0" shrinkToFit="false"/>
      <protection locked="true" hidden="false"/>
    </xf>
    <xf numFmtId="164" fontId="69" fillId="40" borderId="0" xfId="0" applyFont="true" applyBorder="false" applyAlignment="true" applyProtection="false">
      <alignment horizontal="general" vertical="bottom" textRotation="0" wrapText="false" indent="0" shrinkToFit="false"/>
      <protection locked="true" hidden="false"/>
    </xf>
    <xf numFmtId="164" fontId="108" fillId="40" borderId="0" xfId="0" applyFont="true" applyBorder="false" applyAlignment="true" applyProtection="false">
      <alignment horizontal="general" vertical="bottom" textRotation="0" wrapText="false" indent="0" shrinkToFit="false"/>
      <protection locked="true" hidden="false"/>
    </xf>
    <xf numFmtId="164" fontId="109" fillId="38" borderId="0" xfId="0" applyFont="true" applyBorder="false" applyAlignment="true" applyProtection="false">
      <alignment horizontal="general" vertical="bottom" textRotation="0" wrapText="false" indent="0" shrinkToFit="false"/>
      <protection locked="true" hidden="false"/>
    </xf>
    <xf numFmtId="164" fontId="69" fillId="38" borderId="0" xfId="0" applyFont="true" applyBorder="false" applyAlignment="true" applyProtection="false">
      <alignment horizontal="general" vertical="bottom" textRotation="0" wrapText="false" indent="0" shrinkToFit="false"/>
      <protection locked="true" hidden="false"/>
    </xf>
    <xf numFmtId="164" fontId="67" fillId="41" borderId="0" xfId="0" applyFont="true" applyBorder="false" applyAlignment="true" applyProtection="false">
      <alignment horizontal="general" vertical="bottom" textRotation="0" wrapText="false" indent="0" shrinkToFit="false"/>
      <protection locked="true" hidden="false"/>
    </xf>
    <xf numFmtId="164" fontId="110" fillId="41" borderId="0" xfId="0" applyFont="true" applyBorder="false" applyAlignment="true" applyProtection="false">
      <alignment horizontal="center" vertical="bottom" textRotation="0" wrapText="false" indent="0" shrinkToFit="false"/>
      <protection locked="true" hidden="false"/>
    </xf>
    <xf numFmtId="164" fontId="69" fillId="41" borderId="0" xfId="0" applyFont="true" applyBorder="false" applyAlignment="true" applyProtection="false">
      <alignment horizontal="general" vertical="bottom" textRotation="0" wrapText="false" indent="0" shrinkToFit="false"/>
      <protection locked="true" hidden="false"/>
    </xf>
    <xf numFmtId="164" fontId="111" fillId="42" borderId="0" xfId="0" applyFont="true" applyBorder="false" applyAlignment="true" applyProtection="false">
      <alignment horizontal="general" vertical="bottom" textRotation="0" wrapText="false" indent="0" shrinkToFit="false"/>
      <protection locked="true" hidden="false"/>
    </xf>
    <xf numFmtId="164" fontId="112" fillId="34" borderId="0" xfId="0" applyFont="true" applyBorder="false" applyAlignment="true" applyProtection="false">
      <alignment horizontal="general" vertical="bottom" textRotation="0" wrapText="false" indent="0" shrinkToFit="false"/>
      <protection locked="true" hidden="false"/>
    </xf>
    <xf numFmtId="164" fontId="113" fillId="43" borderId="0" xfId="0" applyFont="true" applyBorder="false" applyAlignment="true" applyProtection="false">
      <alignment horizontal="left" vertical="center" textRotation="0" wrapText="false" indent="0" shrinkToFit="false"/>
      <protection locked="true" hidden="false"/>
    </xf>
    <xf numFmtId="164" fontId="88" fillId="43" borderId="0" xfId="0" applyFont="true" applyBorder="false" applyAlignment="true" applyProtection="false">
      <alignment horizontal="left" vertical="center" textRotation="0" wrapText="false" indent="0" shrinkToFit="false"/>
      <protection locked="true" hidden="false"/>
    </xf>
    <xf numFmtId="164" fontId="0" fillId="43" borderId="0" xfId="0" applyFont="false" applyBorder="false" applyAlignment="true" applyProtection="false">
      <alignment horizontal="general" vertical="bottom" textRotation="0" wrapText="false" indent="0" shrinkToFit="false"/>
      <protection locked="true" hidden="false"/>
    </xf>
    <xf numFmtId="164" fontId="90" fillId="28" borderId="0" xfId="0" applyFont="true" applyBorder="false" applyAlignment="true" applyProtection="false">
      <alignment horizontal="center" vertical="center" textRotation="0" wrapText="false" indent="0" shrinkToFit="false"/>
      <protection locked="true" hidden="false"/>
    </xf>
    <xf numFmtId="169" fontId="90" fillId="28" borderId="0" xfId="0" applyFont="true" applyBorder="false" applyAlignment="true" applyProtection="false">
      <alignment horizontal="right" vertical="center" textRotation="0" wrapText="false" indent="0" shrinkToFit="false"/>
      <protection locked="true" hidden="false"/>
    </xf>
    <xf numFmtId="164" fontId="96" fillId="0" borderId="0" xfId="0" applyFont="true" applyBorder="false" applyAlignment="true" applyProtection="false">
      <alignment horizontal="right" vertical="center"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86" fillId="43" borderId="0" xfId="0" applyFont="true" applyBorder="false" applyAlignment="true" applyProtection="false">
      <alignment horizontal="left" vertical="center" textRotation="0" wrapText="false" indent="0" shrinkToFit="false"/>
      <protection locked="true" hidden="false"/>
    </xf>
    <xf numFmtId="164" fontId="87" fillId="43" borderId="0" xfId="0" applyFont="true" applyBorder="false" applyAlignment="true" applyProtection="false">
      <alignment horizontal="left" vertical="center" textRotation="0" wrapText="false" indent="0" shrinkToFit="false"/>
      <protection locked="true" hidden="false"/>
    </xf>
    <xf numFmtId="164" fontId="114" fillId="8" borderId="0" xfId="0" applyFont="true" applyBorder="false" applyAlignment="true" applyProtection="false">
      <alignment horizontal="left" vertical="center" textRotation="0" wrapText="false" indent="0" shrinkToFit="false"/>
      <protection locked="true" hidden="false"/>
    </xf>
    <xf numFmtId="164" fontId="73" fillId="8" borderId="0" xfId="0" applyFont="true" applyBorder="false" applyAlignment="true" applyProtection="false">
      <alignment horizontal="center" vertical="center" textRotation="0" wrapText="false" indent="0" shrinkToFit="false"/>
      <protection locked="true" hidden="false"/>
    </xf>
    <xf numFmtId="164" fontId="73" fillId="38" borderId="0" xfId="0" applyFont="true" applyBorder="false" applyAlignment="true" applyProtection="false">
      <alignment horizontal="left" vertical="center" textRotation="0" wrapText="false" indent="0" shrinkToFit="false"/>
      <protection locked="true" hidden="false"/>
    </xf>
    <xf numFmtId="164" fontId="0" fillId="38" borderId="0" xfId="0" applyFont="false" applyBorder="false" applyAlignment="true" applyProtection="false">
      <alignment horizontal="general" vertical="bottom" textRotation="0" wrapText="false" indent="0" shrinkToFit="false"/>
      <protection locked="true" hidden="false"/>
    </xf>
    <xf numFmtId="164" fontId="115" fillId="0" borderId="0" xfId="0" applyFont="true" applyBorder="false" applyAlignment="true" applyProtection="false">
      <alignment horizontal="center" vertical="center" textRotation="0" wrapText="false" indent="0" shrinkToFit="false"/>
      <protection locked="true" hidden="false"/>
    </xf>
    <xf numFmtId="164" fontId="86" fillId="44" borderId="0" xfId="0" applyFont="true" applyBorder="false" applyAlignment="true" applyProtection="false">
      <alignment horizontal="left" vertical="center" textRotation="0" wrapText="false" indent="0" shrinkToFit="false"/>
      <protection locked="true" hidden="false"/>
    </xf>
    <xf numFmtId="164" fontId="87" fillId="44" borderId="0" xfId="0" applyFont="true" applyBorder="false" applyAlignment="true" applyProtection="false">
      <alignment horizontal="left" vertical="center" textRotation="0" wrapText="false" indent="0" shrinkToFit="false"/>
      <protection locked="true" hidden="false"/>
    </xf>
    <xf numFmtId="164" fontId="0" fillId="44" borderId="0" xfId="0" applyFont="false" applyBorder="false" applyAlignment="true" applyProtection="false">
      <alignment horizontal="general" vertical="bottom" textRotation="0" wrapText="false" indent="0" shrinkToFit="false"/>
      <protection locked="true" hidden="false"/>
    </xf>
    <xf numFmtId="164" fontId="88" fillId="44" borderId="0" xfId="0" applyFont="true" applyBorder="false" applyAlignment="true" applyProtection="false">
      <alignment horizontal="left" vertical="center" textRotation="0" wrapText="false" indent="0" shrinkToFit="false"/>
      <protection locked="true" hidden="false"/>
    </xf>
    <xf numFmtId="164" fontId="116" fillId="27" borderId="0" xfId="0" applyFont="true" applyBorder="false" applyAlignment="true" applyProtection="false">
      <alignment horizontal="left" vertical="center" textRotation="0" wrapText="false" indent="0" shrinkToFit="false"/>
      <protection locked="true" hidden="false"/>
    </xf>
    <xf numFmtId="164" fontId="90" fillId="0" borderId="0" xfId="0" applyFont="true" applyBorder="false" applyAlignment="true" applyProtection="false">
      <alignment horizontal="right" vertical="center" textRotation="0" wrapText="false" indent="0" shrinkToFit="false"/>
      <protection locked="true" hidden="false"/>
    </xf>
    <xf numFmtId="164" fontId="117" fillId="45" borderId="0" xfId="0" applyFont="true" applyBorder="false" applyAlignment="true" applyProtection="false">
      <alignment horizontal="general" vertical="bottom" textRotation="0" wrapText="false" indent="0" shrinkToFit="false"/>
      <protection locked="true" hidden="false"/>
    </xf>
    <xf numFmtId="164" fontId="118" fillId="33" borderId="0" xfId="0" applyFont="true" applyBorder="false" applyAlignment="true" applyProtection="false">
      <alignment horizontal="general" vertical="bottom" textRotation="0" wrapText="false" indent="0" shrinkToFit="false"/>
      <protection locked="true" hidden="false"/>
    </xf>
    <xf numFmtId="164" fontId="119" fillId="33" borderId="0" xfId="0" applyFont="true" applyBorder="false" applyAlignment="true" applyProtection="false">
      <alignment horizontal="general" vertical="bottom" textRotation="0" wrapText="false" indent="0" shrinkToFit="false"/>
      <protection locked="true" hidden="false"/>
    </xf>
    <xf numFmtId="164" fontId="120" fillId="33" borderId="0" xfId="0" applyFont="true" applyBorder="false" applyAlignment="true" applyProtection="false">
      <alignment horizontal="general" vertical="bottom" textRotation="0" wrapText="false" indent="0" shrinkToFit="false"/>
      <protection locked="true" hidden="false"/>
    </xf>
    <xf numFmtId="164" fontId="75" fillId="0" borderId="0" xfId="0" applyFont="true" applyBorder="false" applyAlignment="true" applyProtection="false">
      <alignment horizontal="center" vertical="bottom" textRotation="0" wrapText="false" indent="0" shrinkToFit="false"/>
      <protection locked="true" hidden="false"/>
    </xf>
    <xf numFmtId="173" fontId="121" fillId="0" borderId="0" xfId="0" applyFont="true" applyBorder="false" applyAlignment="true" applyProtection="false">
      <alignment horizontal="center" vertical="bottom" textRotation="0" wrapText="false" indent="0" shrinkToFit="false"/>
      <protection locked="true" hidden="false"/>
    </xf>
    <xf numFmtId="164" fontId="75" fillId="28" borderId="0" xfId="0" applyFont="true" applyBorder="false" applyAlignment="true" applyProtection="false">
      <alignment horizontal="center" vertical="bottom" textRotation="0" wrapText="false" indent="0" shrinkToFit="false"/>
      <protection locked="true" hidden="false"/>
    </xf>
    <xf numFmtId="164" fontId="122" fillId="40" borderId="0" xfId="0" applyFont="true" applyBorder="false" applyAlignment="true" applyProtection="false">
      <alignment horizontal="left" vertical="center" textRotation="0" wrapText="false" indent="0" shrinkToFit="false"/>
      <protection locked="true" hidden="false"/>
    </xf>
    <xf numFmtId="164" fontId="0" fillId="40" borderId="0" xfId="0" applyFont="false" applyBorder="false" applyAlignment="true" applyProtection="false">
      <alignment horizontal="general" vertical="bottom" textRotation="0" wrapText="false" indent="0" shrinkToFit="false"/>
      <protection locked="true" hidden="false"/>
    </xf>
    <xf numFmtId="164" fontId="7" fillId="32" borderId="0" xfId="0" applyFont="true" applyBorder="false" applyAlignment="true" applyProtection="false">
      <alignment horizontal="left" vertical="center" textRotation="0" wrapText="false" indent="0" shrinkToFit="false"/>
      <protection locked="true" hidden="false"/>
    </xf>
    <xf numFmtId="164" fontId="0" fillId="32" borderId="0" xfId="0" applyFont="false" applyBorder="false" applyAlignment="true" applyProtection="false">
      <alignment horizontal="general" vertical="bottom" textRotation="0" wrapText="false" indent="0" shrinkToFit="false"/>
      <protection locked="true" hidden="false"/>
    </xf>
    <xf numFmtId="164" fontId="7" fillId="46" borderId="0" xfId="0" applyFont="true" applyBorder="false" applyAlignment="true" applyProtection="false">
      <alignment horizontal="left" vertical="bottom" textRotation="0" wrapText="false" indent="0" shrinkToFit="false"/>
      <protection locked="true" hidden="false"/>
    </xf>
    <xf numFmtId="164" fontId="7" fillId="46" borderId="0" xfId="0" applyFont="true" applyBorder="false" applyAlignment="true" applyProtection="false">
      <alignment horizontal="center" vertical="bottom" textRotation="0" wrapText="false" indent="0" shrinkToFit="false"/>
      <protection locked="true" hidden="false"/>
    </xf>
    <xf numFmtId="164" fontId="123" fillId="47" borderId="0" xfId="0" applyFont="true" applyBorder="false" applyAlignment="true" applyProtection="false">
      <alignment horizontal="general" vertical="bottom" textRotation="0" wrapText="false" indent="0" shrinkToFit="false"/>
      <protection locked="true" hidden="false"/>
    </xf>
    <xf numFmtId="164" fontId="9" fillId="47" borderId="0" xfId="0" applyFont="true" applyBorder="false" applyAlignment="true" applyProtection="false">
      <alignment horizontal="general" vertical="bottom" textRotation="0" wrapText="false" indent="0" shrinkToFit="false"/>
      <protection locked="true" hidden="false"/>
    </xf>
    <xf numFmtId="164" fontId="124" fillId="47" borderId="0" xfId="0" applyFont="true" applyBorder="false" applyAlignment="true" applyProtection="false">
      <alignment horizontal="general" vertical="bottom" textRotation="0" wrapText="false" indent="0" shrinkToFit="false"/>
      <protection locked="true" hidden="false"/>
    </xf>
    <xf numFmtId="164" fontId="12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24" fillId="0" borderId="0" xfId="0" applyFont="true" applyBorder="false" applyAlignment="true" applyProtection="false">
      <alignment horizontal="general" vertical="bottom" textRotation="0" wrapText="false" indent="0" shrinkToFit="false"/>
      <protection locked="true" hidden="false"/>
    </xf>
    <xf numFmtId="164" fontId="7" fillId="32" borderId="0" xfId="0" applyFont="true" applyBorder="false" applyAlignment="true" applyProtection="false">
      <alignment horizontal="general" vertical="bottom" textRotation="0" wrapText="false" indent="0" shrinkToFit="false"/>
      <protection locked="true" hidden="false"/>
    </xf>
    <xf numFmtId="164" fontId="7" fillId="46"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2" fillId="15" borderId="0" xfId="0" applyFont="true" applyBorder="false" applyAlignment="true" applyProtection="false">
      <alignment horizontal="left" vertical="center"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4" fontId="7" fillId="48" borderId="0" xfId="0" applyFont="true" applyBorder="false" applyAlignment="true" applyProtection="false">
      <alignment horizontal="left" vertical="center" textRotation="0" wrapText="false" indent="0" shrinkToFit="false"/>
      <protection locked="true" hidden="false"/>
    </xf>
    <xf numFmtId="164" fontId="0" fillId="48" borderId="0" xfId="0" applyFont="fals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123" fillId="36" borderId="0" xfId="0" applyFont="true" applyBorder="false" applyAlignment="true" applyProtection="false">
      <alignment horizontal="general" vertical="bottom" textRotation="0" wrapText="false" indent="0" shrinkToFit="false"/>
      <protection locked="true" hidden="false"/>
    </xf>
    <xf numFmtId="164" fontId="7" fillId="48" borderId="0" xfId="0" applyFont="true" applyBorder="true" applyAlignment="true" applyProtection="false">
      <alignment horizontal="left" vertical="center" textRotation="0" wrapText="false" indent="0" shrinkToFit="false"/>
      <protection locked="true" hidden="false"/>
    </xf>
    <xf numFmtId="164" fontId="11" fillId="36"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22" fillId="49" borderId="0" xfId="0" applyFont="true" applyBorder="false" applyAlignment="true" applyProtection="false">
      <alignment horizontal="left" vertical="center" textRotation="0" wrapText="false" indent="0" shrinkToFit="false"/>
      <protection locked="true" hidden="false"/>
    </xf>
    <xf numFmtId="164" fontId="0" fillId="49" borderId="0" xfId="0" applyFont="false" applyBorder="false" applyAlignment="true" applyProtection="false">
      <alignment horizontal="general" vertical="bottom" textRotation="0" wrapText="false" indent="0" shrinkToFit="false"/>
      <protection locked="true" hidden="false"/>
    </xf>
    <xf numFmtId="164" fontId="7" fillId="37" borderId="0" xfId="0" applyFont="true" applyBorder="false" applyAlignment="true" applyProtection="false">
      <alignment horizontal="left" vertical="center" textRotation="0" wrapText="false" indent="0" shrinkToFit="false"/>
      <protection locked="true" hidden="false"/>
    </xf>
    <xf numFmtId="164" fontId="0" fillId="37" borderId="0" xfId="0" applyFont="false" applyBorder="false" applyAlignment="true" applyProtection="false">
      <alignment horizontal="general" vertical="bottom" textRotation="0" wrapText="false" indent="0" shrinkToFit="false"/>
      <protection locked="true" hidden="false"/>
    </xf>
    <xf numFmtId="164" fontId="7" fillId="43" borderId="0" xfId="0" applyFont="true" applyBorder="false" applyAlignment="true" applyProtection="false">
      <alignment horizontal="left" vertical="bottom" textRotation="0" wrapText="false" indent="0" shrinkToFit="false"/>
      <protection locked="true" hidden="false"/>
    </xf>
    <xf numFmtId="164" fontId="7" fillId="43" borderId="0" xfId="0" applyFont="true" applyBorder="false" applyAlignment="true" applyProtection="false">
      <alignment horizontal="center" vertical="bottom" textRotation="0" wrapText="false" indent="0" shrinkToFit="false"/>
      <protection locked="true" hidden="false"/>
    </xf>
    <xf numFmtId="164" fontId="123" fillId="39" borderId="0" xfId="0" applyFont="true" applyBorder="false" applyAlignment="true" applyProtection="false">
      <alignment horizontal="general" vertical="bottom" textRotation="0" wrapText="false" indent="0" shrinkToFit="false"/>
      <protection locked="true" hidden="false"/>
    </xf>
    <xf numFmtId="164" fontId="123" fillId="39" borderId="0" xfId="0" applyFont="true" applyBorder="false" applyAlignment="true" applyProtection="false">
      <alignment horizontal="center" vertical="bottom" textRotation="0" wrapText="false" indent="0" shrinkToFit="false"/>
      <protection locked="true" hidden="false"/>
    </xf>
    <xf numFmtId="170" fontId="123" fillId="39" borderId="0" xfId="0" applyFont="true" applyBorder="false" applyAlignment="true" applyProtection="false">
      <alignment horizontal="center" vertical="bottom" textRotation="0" wrapText="false" indent="0" shrinkToFit="false"/>
      <protection locked="true" hidden="false"/>
    </xf>
    <xf numFmtId="173" fontId="123" fillId="39" borderId="0" xfId="0" applyFont="true" applyBorder="false" applyAlignment="true" applyProtection="false">
      <alignment horizontal="center" vertical="bottom" textRotation="0" wrapText="false" indent="0" shrinkToFit="false"/>
      <protection locked="true" hidden="false"/>
    </xf>
    <xf numFmtId="164" fontId="123" fillId="0" borderId="0" xfId="0" applyFont="true" applyBorder="true" applyAlignment="true" applyProtection="false">
      <alignment horizontal="general" vertical="bottom" textRotation="0" wrapText="false" indent="0" shrinkToFit="false"/>
      <protection locked="true" hidden="false"/>
    </xf>
    <xf numFmtId="164" fontId="123" fillId="0" borderId="0" xfId="0" applyFont="true" applyBorder="false" applyAlignment="true" applyProtection="false">
      <alignment horizontal="center" vertical="bottom" textRotation="0" wrapText="false" indent="0" shrinkToFit="false"/>
      <protection locked="true" hidden="false"/>
    </xf>
    <xf numFmtId="170" fontId="123" fillId="0" borderId="0" xfId="0" applyFont="true" applyBorder="false" applyAlignment="true" applyProtection="false">
      <alignment horizontal="center" vertical="bottom" textRotation="0" wrapText="false" indent="0" shrinkToFit="false"/>
      <protection locked="true" hidden="false"/>
    </xf>
    <xf numFmtId="173" fontId="123" fillId="0" borderId="0" xfId="0" applyFont="true" applyBorder="false" applyAlignment="true" applyProtection="false">
      <alignment horizontal="center" vertical="bottom" textRotation="0" wrapText="false" indent="0" shrinkToFit="false"/>
      <protection locked="true" hidden="false"/>
    </xf>
    <xf numFmtId="164" fontId="122" fillId="50" borderId="0" xfId="0" applyFont="true" applyBorder="false" applyAlignment="true" applyProtection="false">
      <alignment horizontal="left" vertical="center" textRotation="0" wrapText="false" indent="0" shrinkToFit="false"/>
      <protection locked="true" hidden="false"/>
    </xf>
    <xf numFmtId="164" fontId="75" fillId="50" borderId="0" xfId="0" applyFont="true" applyBorder="false" applyAlignment="true" applyProtection="false">
      <alignment horizontal="center" vertical="bottom" textRotation="0" wrapText="false" indent="0" shrinkToFit="false"/>
      <protection locked="true" hidden="false"/>
    </xf>
    <xf numFmtId="170" fontId="69" fillId="50" borderId="0" xfId="0" applyFont="true" applyBorder="false" applyAlignment="true" applyProtection="false">
      <alignment horizontal="center" vertical="bottom" textRotation="0" wrapText="false" indent="0" shrinkToFit="false"/>
      <protection locked="true" hidden="false"/>
    </xf>
    <xf numFmtId="173" fontId="121" fillId="50" borderId="0" xfId="0" applyFont="true" applyBorder="false" applyAlignment="true" applyProtection="false">
      <alignment horizontal="center" vertical="bottom" textRotation="0" wrapText="false" indent="0" shrinkToFit="false"/>
      <protection locked="true" hidden="false"/>
    </xf>
    <xf numFmtId="164" fontId="0" fillId="50" borderId="0" xfId="0" applyFont="false" applyBorder="false" applyAlignment="true" applyProtection="false">
      <alignment horizontal="general" vertical="bottom" textRotation="0" wrapText="false" indent="0" shrinkToFit="false"/>
      <protection locked="true" hidden="false"/>
    </xf>
    <xf numFmtId="164" fontId="7" fillId="51" borderId="0" xfId="0" applyFont="true" applyBorder="false" applyAlignment="true" applyProtection="false">
      <alignment horizontal="left" vertical="center" textRotation="0" wrapText="false" indent="0" shrinkToFit="false"/>
      <protection locked="true" hidden="false"/>
    </xf>
    <xf numFmtId="164" fontId="75" fillId="51" borderId="0" xfId="0" applyFont="true" applyBorder="false" applyAlignment="true" applyProtection="false">
      <alignment horizontal="center" vertical="bottom" textRotation="0" wrapText="false" indent="0" shrinkToFit="false"/>
      <protection locked="true" hidden="false"/>
    </xf>
    <xf numFmtId="170" fontId="69" fillId="51" borderId="0" xfId="0" applyFont="true" applyBorder="false" applyAlignment="true" applyProtection="false">
      <alignment horizontal="center" vertical="bottom" textRotation="0" wrapText="false" indent="0" shrinkToFit="false"/>
      <protection locked="true" hidden="false"/>
    </xf>
    <xf numFmtId="173" fontId="121" fillId="51" borderId="0" xfId="0" applyFont="true" applyBorder="false" applyAlignment="true" applyProtection="false">
      <alignment horizontal="center" vertical="bottom" textRotation="0" wrapText="false" indent="0" shrinkToFit="false"/>
      <protection locked="true" hidden="false"/>
    </xf>
    <xf numFmtId="164" fontId="0" fillId="51" borderId="0" xfId="0" applyFont="false" applyBorder="false" applyAlignment="true" applyProtection="false">
      <alignment horizontal="general" vertical="bottom" textRotation="0" wrapText="false" indent="0" shrinkToFit="false"/>
      <protection locked="true" hidden="false"/>
    </xf>
    <xf numFmtId="170" fontId="7" fillId="4" borderId="0" xfId="0" applyFont="true" applyBorder="false" applyAlignment="true" applyProtection="false">
      <alignment horizontal="center" vertical="bottom" textRotation="0" wrapText="false" indent="0" shrinkToFit="false"/>
      <protection locked="true" hidden="false"/>
    </xf>
    <xf numFmtId="173" fontId="7" fillId="4" borderId="0" xfId="0" applyFont="true" applyBorder="false" applyAlignment="true" applyProtection="false">
      <alignment horizontal="center" vertical="bottom" textRotation="0" wrapText="false" indent="0" shrinkToFit="false"/>
      <protection locked="true" hidden="false"/>
    </xf>
    <xf numFmtId="164" fontId="123" fillId="36" borderId="0" xfId="0" applyFont="true" applyBorder="false" applyAlignment="true" applyProtection="false">
      <alignment horizontal="center" vertical="bottom" textRotation="0" wrapText="false" indent="0" shrinkToFit="false"/>
      <protection locked="true" hidden="false"/>
    </xf>
    <xf numFmtId="170" fontId="123" fillId="36" borderId="0" xfId="0" applyFont="true" applyBorder="false" applyAlignment="true" applyProtection="false">
      <alignment horizontal="center" vertical="bottom" textRotation="0" wrapText="false" indent="0" shrinkToFit="false"/>
      <protection locked="true" hidden="false"/>
    </xf>
    <xf numFmtId="173" fontId="123" fillId="36" borderId="0" xfId="0" applyFont="true" applyBorder="false" applyAlignment="true" applyProtection="false">
      <alignment horizontal="center" vertical="bottom" textRotation="0" wrapText="false" indent="0" shrinkToFit="false"/>
      <protection locked="true" hidden="false"/>
    </xf>
    <xf numFmtId="164" fontId="125" fillId="40" borderId="0" xfId="0" applyFont="true" applyBorder="false" applyAlignment="true" applyProtection="false">
      <alignment horizontal="left" vertical="center" textRotation="0" wrapText="false" indent="0" shrinkToFit="false"/>
      <protection locked="true" hidden="false"/>
    </xf>
    <xf numFmtId="164" fontId="36" fillId="52" borderId="0" xfId="0" applyFont="true" applyBorder="false" applyAlignment="true" applyProtection="false">
      <alignment horizontal="left" vertical="center" textRotation="0" wrapText="false" indent="0" shrinkToFit="false"/>
      <protection locked="true" hidden="false"/>
    </xf>
    <xf numFmtId="164" fontId="0" fillId="52" borderId="0" xfId="0" applyFont="false" applyBorder="false" applyAlignment="true" applyProtection="false">
      <alignment horizontal="general" vertical="bottom" textRotation="0" wrapText="false" indent="0" shrinkToFit="false"/>
      <protection locked="true" hidden="false"/>
    </xf>
    <xf numFmtId="164" fontId="36" fillId="53" borderId="0" xfId="0" applyFont="true" applyBorder="false" applyAlignment="true" applyProtection="false">
      <alignment horizontal="left" vertical="center" textRotation="0" wrapText="false" indent="0" shrinkToFit="false"/>
      <protection locked="true" hidden="false"/>
    </xf>
    <xf numFmtId="164" fontId="36" fillId="53" borderId="0" xfId="0" applyFont="true" applyBorder="false" applyAlignment="true" applyProtection="false">
      <alignment horizontal="center" vertical="center" textRotation="0" wrapText="false" indent="0" shrinkToFit="false"/>
      <protection locked="true" hidden="false"/>
    </xf>
    <xf numFmtId="164" fontId="39" fillId="47" borderId="1" xfId="0" applyFont="true" applyBorder="true" applyAlignment="true" applyProtection="false">
      <alignment horizontal="left" vertical="center" textRotation="0" wrapText="false" indent="0" shrinkToFit="false"/>
      <protection locked="true" hidden="false"/>
    </xf>
    <xf numFmtId="164" fontId="39" fillId="47" borderId="1" xfId="0" applyFont="true" applyBorder="true" applyAlignment="true" applyProtection="false">
      <alignment horizontal="center" vertical="center" textRotation="0" wrapText="false" indent="0" shrinkToFit="false"/>
      <protection locked="true" hidden="false"/>
    </xf>
    <xf numFmtId="164" fontId="39" fillId="0" borderId="1" xfId="0" applyFont="true" applyBorder="true" applyAlignment="true" applyProtection="false">
      <alignment horizontal="left" vertical="center" textRotation="0" wrapText="false" indent="0" shrinkToFit="false"/>
      <protection locked="true" hidden="false"/>
    </xf>
    <xf numFmtId="164" fontId="39" fillId="0" borderId="1" xfId="0" applyFont="true" applyBorder="true" applyAlignment="true" applyProtection="false">
      <alignment horizontal="center" vertical="center" textRotation="0" wrapText="false" indent="0" shrinkToFit="false"/>
      <protection locked="true" hidden="false"/>
    </xf>
    <xf numFmtId="164" fontId="125" fillId="6" borderId="0" xfId="0" applyFont="true" applyBorder="true" applyAlignment="true" applyProtection="false">
      <alignment horizontal="left" vertical="center" textRotation="0" wrapText="false" indent="0" shrinkToFit="false"/>
      <protection locked="true" hidden="false"/>
    </xf>
    <xf numFmtId="164" fontId="36" fillId="52" borderId="0" xfId="0" applyFont="true" applyBorder="true" applyAlignment="true" applyProtection="false">
      <alignment horizontal="left" vertical="center" textRotation="0" wrapText="false" indent="0" shrinkToFit="false"/>
      <protection locked="true" hidden="false"/>
    </xf>
    <xf numFmtId="164" fontId="36" fillId="15" borderId="2" xfId="0" applyFont="true" applyBorder="true" applyAlignment="true" applyProtection="false">
      <alignment horizontal="left" vertical="center" textRotation="0" wrapText="true" indent="0" shrinkToFit="false"/>
      <protection locked="true" hidden="false"/>
    </xf>
    <xf numFmtId="164" fontId="36" fillId="15" borderId="2" xfId="0" applyFont="true" applyBorder="true" applyAlignment="true" applyProtection="false">
      <alignment horizontal="center" vertical="center" textRotation="0" wrapText="true" indent="0" shrinkToFit="false"/>
      <protection locked="true" hidden="false"/>
    </xf>
    <xf numFmtId="164" fontId="39" fillId="54" borderId="2" xfId="0" applyFont="true" applyBorder="true" applyAlignment="true" applyProtection="false">
      <alignment horizontal="left" vertical="center" textRotation="0" wrapText="true" indent="0" shrinkToFit="false"/>
      <protection locked="true" hidden="false"/>
    </xf>
    <xf numFmtId="167" fontId="39" fillId="54" borderId="11" xfId="0" applyFont="true" applyBorder="true" applyAlignment="true" applyProtection="false">
      <alignment horizontal="center" vertical="center" textRotation="0" wrapText="false" indent="0" shrinkToFit="false"/>
      <protection locked="true" hidden="false"/>
    </xf>
    <xf numFmtId="167" fontId="33" fillId="54" borderId="11" xfId="0" applyFont="true" applyBorder="true" applyAlignment="true" applyProtection="false">
      <alignment horizontal="center" vertical="center" textRotation="0" wrapText="false" indent="0" shrinkToFit="false"/>
      <protection locked="true" hidden="false"/>
    </xf>
    <xf numFmtId="164" fontId="39" fillId="54" borderId="2" xfId="0" applyFont="true" applyBorder="true" applyAlignment="true" applyProtection="false">
      <alignment horizontal="center" vertical="center" textRotation="0" wrapText="true" indent="0" shrinkToFit="false"/>
      <protection locked="true" hidden="false"/>
    </xf>
    <xf numFmtId="164" fontId="126" fillId="54" borderId="11" xfId="0" applyFont="true" applyBorder="true" applyAlignment="true" applyProtection="false">
      <alignment horizontal="center" vertical="center" textRotation="0" wrapText="true" indent="0" shrinkToFit="false"/>
      <protection locked="true" hidden="false"/>
    </xf>
    <xf numFmtId="164" fontId="39" fillId="19" borderId="2" xfId="0" applyFont="true" applyBorder="true" applyAlignment="true" applyProtection="false">
      <alignment horizontal="left" vertical="center" textRotation="0" wrapText="true" indent="0" shrinkToFit="false"/>
      <protection locked="true" hidden="false"/>
    </xf>
    <xf numFmtId="167" fontId="39" fillId="19" borderId="11" xfId="0" applyFont="true" applyBorder="true" applyAlignment="true" applyProtection="false">
      <alignment horizontal="center" vertical="center" textRotation="0" wrapText="false" indent="0" shrinkToFit="false"/>
      <protection locked="true" hidden="false"/>
    </xf>
    <xf numFmtId="167" fontId="33" fillId="19" borderId="11" xfId="0" applyFont="true" applyBorder="true" applyAlignment="true" applyProtection="false">
      <alignment horizontal="center" vertical="center" textRotation="0" wrapText="false" indent="0" shrinkToFit="false"/>
      <protection locked="true" hidden="false"/>
    </xf>
    <xf numFmtId="164" fontId="39" fillId="19" borderId="2" xfId="0" applyFont="true" applyBorder="true" applyAlignment="true" applyProtection="false">
      <alignment horizontal="center" vertical="center" textRotation="0" wrapText="true" indent="0" shrinkToFit="false"/>
      <protection locked="true" hidden="false"/>
    </xf>
    <xf numFmtId="164" fontId="126" fillId="19" borderId="11" xfId="0" applyFont="true" applyBorder="true" applyAlignment="true" applyProtection="false">
      <alignment horizontal="center" vertical="center" textRotation="0" wrapText="true" indent="0" shrinkToFit="false"/>
      <protection locked="true" hidden="false"/>
    </xf>
    <xf numFmtId="164" fontId="39" fillId="12" borderId="11" xfId="0" applyFont="true" applyBorder="true" applyAlignment="true" applyProtection="false">
      <alignment horizontal="left" vertical="center" textRotation="0" wrapText="true" indent="0" shrinkToFit="false"/>
      <protection locked="true" hidden="false"/>
    </xf>
    <xf numFmtId="167" fontId="39" fillId="12" borderId="11" xfId="0" applyFont="true" applyBorder="true" applyAlignment="true" applyProtection="false">
      <alignment horizontal="center" vertical="center" textRotation="0" wrapText="true" indent="0" shrinkToFit="false"/>
      <protection locked="true" hidden="false"/>
    </xf>
    <xf numFmtId="164" fontId="39" fillId="12" borderId="11" xfId="0" applyFont="true" applyBorder="true" applyAlignment="true" applyProtection="false">
      <alignment horizontal="center" vertical="center" textRotation="0" wrapText="true" indent="0" shrinkToFit="false"/>
      <protection locked="true" hidden="false"/>
    </xf>
    <xf numFmtId="164" fontId="127" fillId="6" borderId="0" xfId="0" applyFont="true" applyBorder="true" applyAlignment="true" applyProtection="false">
      <alignment horizontal="center" vertical="center" textRotation="0" wrapText="false" indent="0" shrinkToFit="false"/>
      <protection locked="true" hidden="false"/>
    </xf>
    <xf numFmtId="164" fontId="24" fillId="55" borderId="0" xfId="0" applyFont="true" applyBorder="true" applyAlignment="true" applyProtection="false">
      <alignment horizontal="center" vertical="center" textRotation="0" wrapText="false" indent="0" shrinkToFit="false"/>
      <protection locked="true" hidden="false"/>
    </xf>
    <xf numFmtId="164" fontId="128" fillId="6" borderId="0" xfId="0" applyFont="true" applyBorder="true" applyAlignment="true" applyProtection="false">
      <alignment horizontal="center" vertical="center" textRotation="0" wrapText="false" indent="0" shrinkToFit="false"/>
      <protection locked="true" hidden="false"/>
    </xf>
    <xf numFmtId="164" fontId="129" fillId="56" borderId="0" xfId="0" applyFont="true" applyBorder="true" applyAlignment="true" applyProtection="false">
      <alignment horizontal="center" vertical="center" textRotation="0" wrapText="false" indent="0" shrinkToFit="false"/>
      <protection locked="true" hidden="false"/>
    </xf>
    <xf numFmtId="164" fontId="130" fillId="15" borderId="0" xfId="0" applyFont="true" applyBorder="true" applyAlignment="true" applyProtection="false">
      <alignment horizontal="center" vertical="center" textRotation="0" wrapText="false" indent="0" shrinkToFit="false"/>
      <protection locked="true" hidden="false"/>
    </xf>
    <xf numFmtId="164" fontId="36" fillId="15" borderId="12" xfId="0" applyFont="true" applyBorder="true" applyAlignment="true" applyProtection="false">
      <alignment horizontal="center" vertical="center" textRotation="0" wrapText="true" indent="0" shrinkToFit="false"/>
      <protection locked="true" hidden="false"/>
    </xf>
    <xf numFmtId="164" fontId="65" fillId="57" borderId="12" xfId="0" applyFont="true" applyBorder="true" applyAlignment="true" applyProtection="false">
      <alignment horizontal="left" vertical="center" textRotation="0" wrapText="true" indent="0" shrinkToFit="false"/>
      <protection locked="true" hidden="false"/>
    </xf>
    <xf numFmtId="164" fontId="29" fillId="57" borderId="12" xfId="0" applyFont="true" applyBorder="true" applyAlignment="true" applyProtection="false">
      <alignment horizontal="center" vertical="center" textRotation="0" wrapText="true" indent="0" shrinkToFit="false"/>
      <protection locked="true" hidden="false"/>
    </xf>
    <xf numFmtId="164" fontId="131" fillId="57" borderId="12" xfId="0" applyFont="true" applyBorder="true" applyAlignment="true" applyProtection="false">
      <alignment horizontal="center" vertical="center" textRotation="0" wrapText="true" indent="0" shrinkToFit="false"/>
      <protection locked="true" hidden="false"/>
    </xf>
    <xf numFmtId="164" fontId="65" fillId="19" borderId="12" xfId="0" applyFont="true" applyBorder="true" applyAlignment="true" applyProtection="false">
      <alignment horizontal="left" vertical="center" textRotation="0" wrapText="true" indent="0" shrinkToFit="false"/>
      <protection locked="true" hidden="false"/>
    </xf>
    <xf numFmtId="164" fontId="29" fillId="19" borderId="12" xfId="0" applyFont="true" applyBorder="true" applyAlignment="true" applyProtection="false">
      <alignment horizontal="center" vertical="center" textRotation="0" wrapText="true" indent="0" shrinkToFit="false"/>
      <protection locked="true" hidden="false"/>
    </xf>
    <xf numFmtId="164" fontId="131" fillId="19" borderId="12" xfId="0" applyFont="true" applyBorder="true" applyAlignment="true" applyProtection="false">
      <alignment horizontal="center" vertical="center" textRotation="0" wrapText="true" indent="0" shrinkToFit="false"/>
      <protection locked="true" hidden="false"/>
    </xf>
    <xf numFmtId="164" fontId="130" fillId="13" borderId="0" xfId="0" applyFont="true" applyBorder="true" applyAlignment="true" applyProtection="false">
      <alignment horizontal="center" vertical="center" textRotation="0" wrapText="false" indent="0" shrinkToFit="false"/>
      <protection locked="true" hidden="false"/>
    </xf>
    <xf numFmtId="164" fontId="132" fillId="57" borderId="12" xfId="0" applyFont="true" applyBorder="true" applyAlignment="true" applyProtection="false">
      <alignment horizontal="center" vertical="center" textRotation="0" wrapText="true" indent="0" shrinkToFit="false"/>
      <protection locked="true" hidden="false"/>
    </xf>
    <xf numFmtId="164" fontId="61" fillId="17" borderId="0" xfId="0" applyFont="true" applyBorder="true" applyAlignment="true" applyProtection="false">
      <alignment horizontal="center" vertical="center" textRotation="0" wrapText="false" indent="0" shrinkToFit="false"/>
      <protection locked="true" hidden="false"/>
    </xf>
    <xf numFmtId="164" fontId="132" fillId="19" borderId="12" xfId="0" applyFont="true" applyBorder="true" applyAlignment="true" applyProtection="false">
      <alignment horizontal="center" vertical="center" textRotation="0" wrapText="true" indent="0" shrinkToFit="false"/>
      <protection locked="true" hidden="false"/>
    </xf>
    <xf numFmtId="164" fontId="65" fillId="57" borderId="12" xfId="0" applyFont="true" applyBorder="true" applyAlignment="true" applyProtection="false">
      <alignment horizontal="center" vertical="center" textRotation="0" wrapText="true" indent="0" shrinkToFit="false"/>
      <protection locked="true" hidden="false"/>
    </xf>
    <xf numFmtId="164" fontId="65" fillId="19" borderId="12" xfId="0" applyFont="true" applyBorder="true" applyAlignment="true" applyProtection="false">
      <alignment horizontal="center" vertical="center" textRotation="0" wrapText="true" indent="0" shrinkToFit="false"/>
      <protection locked="true" hidden="false"/>
    </xf>
    <xf numFmtId="164" fontId="29" fillId="57" borderId="12" xfId="0" applyFont="true" applyBorder="true" applyAlignment="true" applyProtection="false">
      <alignment horizontal="left" vertical="center" textRotation="0" wrapText="true" indent="0" shrinkToFit="false"/>
      <protection locked="true" hidden="false"/>
    </xf>
    <xf numFmtId="164" fontId="29" fillId="19" borderId="12" xfId="0" applyFont="true" applyBorder="true" applyAlignment="true" applyProtection="false">
      <alignment horizontal="left" vertical="center" textRotation="0" wrapText="true" indent="0" shrinkToFit="false"/>
      <protection locked="true" hidden="false"/>
    </xf>
    <xf numFmtId="164" fontId="36" fillId="58" borderId="0" xfId="0" applyFont="true" applyBorder="true" applyAlignment="true" applyProtection="false">
      <alignment horizontal="center" vertical="center" textRotation="0" wrapText="false" indent="0" shrinkToFit="false"/>
      <protection locked="true" hidden="false"/>
    </xf>
    <xf numFmtId="164" fontId="128" fillId="59" borderId="0" xfId="0" applyFont="true" applyBorder="true" applyAlignment="true" applyProtection="false">
      <alignment horizontal="left" vertical="center" textRotation="0" wrapText="false" indent="0" shrinkToFit="false"/>
      <protection locked="true" hidden="false"/>
    </xf>
    <xf numFmtId="164" fontId="0" fillId="60" borderId="0" xfId="0" applyFont="false" applyBorder="true" applyAlignment="false" applyProtection="false">
      <alignment horizontal="general" vertical="bottom" textRotation="0" wrapText="false" indent="0" shrinkToFit="false"/>
      <protection locked="true" hidden="false"/>
    </xf>
    <xf numFmtId="164" fontId="130" fillId="15" borderId="0" xfId="0" applyFont="true" applyBorder="true" applyAlignment="true" applyProtection="false">
      <alignment horizontal="left" vertical="center" textRotation="0" wrapText="false" indent="0" shrinkToFit="false"/>
      <protection locked="true" hidden="false"/>
    </xf>
    <xf numFmtId="164" fontId="36" fillId="13" borderId="12" xfId="0" applyFont="true" applyBorder="true" applyAlignment="true" applyProtection="false">
      <alignment horizontal="left" vertical="top" textRotation="0" wrapText="false" indent="0" shrinkToFit="false"/>
      <protection locked="true" hidden="false"/>
    </xf>
    <xf numFmtId="164" fontId="39" fillId="57" borderId="1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5F5F5"/>
      <rgbColor rgb="FF0000FF"/>
      <rgbColor rgb="FFFFFF00"/>
      <rgbColor rgb="FFF7F5F6"/>
      <rgbColor rgb="FFEDF6EE"/>
      <rgbColor rgb="FFA20303"/>
      <rgbColor rgb="FF0C5D0A"/>
      <rgbColor rgb="FF14172A"/>
      <rgbColor rgb="FFEEF9EF"/>
      <rgbColor rgb="FF4A1A1A"/>
      <rgbColor rgb="FF245316"/>
      <rgbColor rgb="FFC1C7C8"/>
      <rgbColor rgb="FFF4ECF7"/>
      <rgbColor rgb="FFA7C999"/>
      <rgbColor rgb="FF634D68"/>
      <rgbColor rgb="FFFFF9E6"/>
      <rgbColor rgb="FFEBF5FB"/>
      <rgbColor rgb="FF5B1A2B"/>
      <rgbColor rgb="FFFBE1DD"/>
      <rgbColor rgb="FF204B6A"/>
      <rgbColor rgb="FFCCCCCC"/>
      <rgbColor rgb="FF16213E"/>
      <rgbColor rgb="FFF8F9FA"/>
      <rgbColor rgb="FFE2EFDF"/>
      <rgbColor rgb="FFEEF6FF"/>
      <rgbColor rgb="FF16192C"/>
      <rgbColor rgb="FF721E21"/>
      <rgbColor rgb="FF2D5119"/>
      <rgbColor rgb="FFFDFEFE"/>
      <rgbColor rgb="FFEEF4F8"/>
      <rgbColor rgb="FFECF5FA"/>
      <rgbColor rgb="FFDAEBD5"/>
      <rgbColor rgb="FFFFF9ED"/>
      <rgbColor rgb="FFBFC9CA"/>
      <rgbColor rgb="FFECDFE4"/>
      <rgbColor rgb="FFBBCABB"/>
      <rgbColor rgb="FFF4DBDC"/>
      <rgbColor rgb="FF273C49"/>
      <rgbColor rgb="FFEBF1EA"/>
      <rgbColor rgb="FFDBE8F5"/>
      <rgbColor rgb="FFFFDE02"/>
      <rgbColor rgb="FFE8F0E7"/>
      <rgbColor rgb="FFC76A04"/>
      <rgbColor rgb="FF666666"/>
      <rgbColor rgb="FF9A99A3"/>
      <rgbColor rgb="FF0F3460"/>
      <rgbColor rgb="FF1F8348"/>
      <rgbColor rgb="FF1A2A3A"/>
      <rgbColor rgb="FF1E2C1E"/>
      <rgbColor rgb="FFC90103"/>
      <rgbColor rgb="FF353535"/>
      <rgbColor rgb="FF1F355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859375" defaultRowHeight="14.25" zeroHeight="false" outlineLevelRow="0" outlineLevelCol="0"/>
  <cols>
    <col collapsed="false" customWidth="true" hidden="false" outlineLevel="0" max="1" min="1" style="1" width="42"/>
    <col collapsed="false" customWidth="true" hidden="false" outlineLevel="0" max="5" min="2" style="1" width="11"/>
    <col collapsed="false" customWidth="true" hidden="false" outlineLevel="0" max="6" min="6" style="1" width="36"/>
  </cols>
  <sheetData>
    <row r="1" customFormat="false" ht="21.7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18" hidden="false" customHeight="true" outlineLevel="0" collapsed="false">
      <c r="A4" s="4" t="s">
        <v>2</v>
      </c>
      <c r="B4" s="4"/>
      <c r="C4" s="4"/>
      <c r="D4" s="4"/>
      <c r="E4" s="4"/>
      <c r="F4" s="4"/>
    </row>
    <row r="5" customFormat="false" ht="15" hidden="false" customHeight="true" outlineLevel="0" collapsed="false">
      <c r="A5" s="5" t="s">
        <v>3</v>
      </c>
      <c r="B5" s="6" t="s">
        <v>4</v>
      </c>
      <c r="C5" s="6" t="s">
        <v>5</v>
      </c>
      <c r="D5" s="6" t="s">
        <v>6</v>
      </c>
      <c r="E5" s="6"/>
      <c r="F5" s="6" t="s">
        <v>7</v>
      </c>
    </row>
    <row r="6" customFormat="false" ht="15" hidden="false" customHeight="true" outlineLevel="0" collapsed="false">
      <c r="A6" s="7" t="s">
        <v>8</v>
      </c>
      <c r="B6" s="8" t="n">
        <v>2055</v>
      </c>
      <c r="C6" s="8" t="n">
        <v>1745</v>
      </c>
      <c r="D6" s="8" t="n">
        <v>1645</v>
      </c>
      <c r="E6" s="8"/>
      <c r="F6" s="9" t="s">
        <v>9</v>
      </c>
    </row>
    <row r="7" customFormat="false" ht="15" hidden="false" customHeight="true" outlineLevel="0" collapsed="false">
      <c r="A7" s="10" t="s">
        <v>10</v>
      </c>
      <c r="B7" s="11" t="n">
        <v>1695</v>
      </c>
      <c r="C7" s="11" t="n">
        <v>1445</v>
      </c>
      <c r="D7" s="11" t="n">
        <v>1355</v>
      </c>
      <c r="E7" s="11"/>
      <c r="F7" s="12"/>
    </row>
    <row r="8" customFormat="false" ht="15" hidden="false" customHeight="true" outlineLevel="0" collapsed="false">
      <c r="A8" s="7" t="s">
        <v>11</v>
      </c>
      <c r="B8" s="8" t="n">
        <v>1495</v>
      </c>
      <c r="C8" s="8" t="n">
        <v>1275</v>
      </c>
      <c r="D8" s="8" t="n">
        <v>1245</v>
      </c>
      <c r="E8" s="8"/>
      <c r="F8" s="9" t="s">
        <v>12</v>
      </c>
    </row>
    <row r="9" customFormat="false" ht="15" hidden="false" customHeight="true" outlineLevel="0" collapsed="false">
      <c r="A9" s="10" t="s">
        <v>13</v>
      </c>
      <c r="B9" s="11" t="n">
        <v>3085</v>
      </c>
      <c r="C9" s="11" t="n">
        <v>2625</v>
      </c>
      <c r="D9" s="11" t="n">
        <v>2465</v>
      </c>
      <c r="E9" s="11"/>
      <c r="F9" s="12" t="s">
        <v>14</v>
      </c>
    </row>
    <row r="10" customFormat="false" ht="15" hidden="false" customHeight="true" outlineLevel="0" collapsed="false">
      <c r="A10" s="7" t="s">
        <v>15</v>
      </c>
      <c r="B10" s="8" t="n">
        <v>1695</v>
      </c>
      <c r="C10" s="8" t="n">
        <v>1445</v>
      </c>
      <c r="D10" s="8" t="n">
        <v>1355</v>
      </c>
      <c r="E10" s="8"/>
      <c r="F10" s="9"/>
    </row>
    <row r="11" customFormat="false" ht="15" hidden="false" customHeight="true" outlineLevel="0" collapsed="false">
      <c r="A11" s="10" t="s">
        <v>16</v>
      </c>
      <c r="B11" s="11" t="n">
        <v>1595</v>
      </c>
      <c r="C11" s="11" t="n">
        <v>1356</v>
      </c>
      <c r="D11" s="11" t="n">
        <v>1295</v>
      </c>
      <c r="E11" s="11"/>
      <c r="F11" s="12"/>
    </row>
    <row r="12" customFormat="false" ht="15" hidden="false" customHeight="true" outlineLevel="0" collapsed="false">
      <c r="A12" s="7" t="s">
        <v>17</v>
      </c>
      <c r="B12" s="8" t="n">
        <v>1645</v>
      </c>
      <c r="C12" s="8" t="n">
        <v>1395</v>
      </c>
      <c r="D12" s="8" t="n">
        <v>1315</v>
      </c>
      <c r="E12" s="8"/>
      <c r="F12" s="9"/>
    </row>
    <row r="13" customFormat="false" ht="15" hidden="false" customHeight="true" outlineLevel="0" collapsed="false">
      <c r="A13" s="10" t="s">
        <v>18</v>
      </c>
      <c r="B13" s="11" t="n">
        <v>1495</v>
      </c>
      <c r="C13" s="11" t="n">
        <v>1275</v>
      </c>
      <c r="D13" s="11" t="n">
        <v>1195</v>
      </c>
      <c r="E13" s="11"/>
      <c r="F13" s="12"/>
    </row>
    <row r="14" customFormat="false" ht="15" hidden="false" customHeight="true" outlineLevel="0" collapsed="false">
      <c r="A14" s="7" t="s">
        <v>19</v>
      </c>
      <c r="B14" s="8" t="n">
        <v>1955</v>
      </c>
      <c r="C14" s="8" t="n">
        <v>1665</v>
      </c>
      <c r="D14" s="8" t="n">
        <v>1565</v>
      </c>
      <c r="E14" s="8"/>
      <c r="F14" s="9" t="s">
        <v>20</v>
      </c>
    </row>
    <row r="15" customFormat="false" ht="15" hidden="false" customHeight="true" outlineLevel="0" collapsed="false">
      <c r="A15" s="10" t="s">
        <v>21</v>
      </c>
      <c r="B15" s="11" t="n">
        <v>2095</v>
      </c>
      <c r="C15" s="11" t="n">
        <v>1785</v>
      </c>
      <c r="D15" s="11" t="n">
        <v>1675</v>
      </c>
      <c r="E15" s="11"/>
      <c r="F15" s="12" t="s">
        <v>20</v>
      </c>
    </row>
    <row r="16" customFormat="false" ht="15" hidden="false" customHeight="true" outlineLevel="0" collapsed="false">
      <c r="A16" s="7" t="s">
        <v>22</v>
      </c>
      <c r="B16" s="8" t="n">
        <v>1495</v>
      </c>
      <c r="C16" s="8" t="n">
        <v>1275</v>
      </c>
      <c r="D16" s="8" t="n">
        <v>1195</v>
      </c>
      <c r="E16" s="8"/>
      <c r="F16" s="9"/>
    </row>
    <row r="17" customFormat="false" ht="15" hidden="false" customHeight="true" outlineLevel="0" collapsed="false">
      <c r="A17" s="10" t="s">
        <v>23</v>
      </c>
      <c r="B17" s="11" t="n">
        <v>1090</v>
      </c>
      <c r="C17" s="11" t="n">
        <v>925</v>
      </c>
      <c r="D17" s="11" t="n">
        <v>875</v>
      </c>
      <c r="E17" s="11"/>
      <c r="F17" s="12" t="s">
        <v>24</v>
      </c>
    </row>
    <row r="18" customFormat="false" ht="15" hidden="false" customHeight="true" outlineLevel="0" collapsed="false">
      <c r="A18" s="7" t="s">
        <v>25</v>
      </c>
      <c r="B18" s="8" t="n">
        <v>1495</v>
      </c>
      <c r="C18" s="8" t="n">
        <v>1275</v>
      </c>
      <c r="D18" s="8" t="n">
        <v>1195</v>
      </c>
      <c r="E18" s="8"/>
      <c r="F18" s="9"/>
    </row>
    <row r="20" customFormat="false" ht="18" hidden="false" customHeight="true" outlineLevel="0" collapsed="false">
      <c r="A20" s="4" t="s">
        <v>26</v>
      </c>
      <c r="B20" s="4"/>
      <c r="C20" s="4"/>
      <c r="D20" s="4"/>
      <c r="E20" s="4"/>
      <c r="F20" s="4"/>
    </row>
    <row r="21" customFormat="false" ht="15" hidden="false" customHeight="true" outlineLevel="0" collapsed="false">
      <c r="A21" s="5" t="s">
        <v>3</v>
      </c>
      <c r="B21" s="6" t="s">
        <v>27</v>
      </c>
      <c r="C21" s="6" t="s">
        <v>28</v>
      </c>
      <c r="D21" s="6" t="s">
        <v>29</v>
      </c>
      <c r="E21" s="6"/>
      <c r="F21" s="6" t="s">
        <v>7</v>
      </c>
    </row>
    <row r="22" customFormat="false" ht="15" hidden="false" customHeight="true" outlineLevel="0" collapsed="false">
      <c r="A22" s="7" t="s">
        <v>30</v>
      </c>
      <c r="B22" s="8" t="n">
        <v>1150</v>
      </c>
      <c r="C22" s="8" t="n">
        <v>1000</v>
      </c>
      <c r="D22" s="8" t="n">
        <v>855</v>
      </c>
      <c r="E22" s="8"/>
      <c r="F22" s="9" t="s">
        <v>31</v>
      </c>
    </row>
    <row r="23" customFormat="false" ht="15" hidden="false" customHeight="true" outlineLevel="0" collapsed="false">
      <c r="A23" s="10" t="s">
        <v>32</v>
      </c>
      <c r="B23" s="11" t="n">
        <v>435</v>
      </c>
      <c r="C23" s="11" t="n">
        <v>385</v>
      </c>
      <c r="D23" s="11" t="n">
        <v>340</v>
      </c>
      <c r="E23" s="11"/>
      <c r="F23" s="12"/>
    </row>
    <row r="24" customFormat="false" ht="15" hidden="false" customHeight="true" outlineLevel="0" collapsed="false">
      <c r="A24" s="7" t="s">
        <v>33</v>
      </c>
      <c r="B24" s="8" t="n">
        <v>900</v>
      </c>
      <c r="C24" s="8" t="n">
        <v>815</v>
      </c>
      <c r="D24" s="8" t="n">
        <v>730</v>
      </c>
      <c r="E24" s="8"/>
      <c r="F24" s="9" t="s">
        <v>34</v>
      </c>
    </row>
    <row r="25" customFormat="false" ht="15" hidden="false" customHeight="true" outlineLevel="0" collapsed="false">
      <c r="A25" s="10" t="s">
        <v>35</v>
      </c>
      <c r="B25" s="11" t="n">
        <v>1000</v>
      </c>
      <c r="C25" s="11" t="n">
        <v>915</v>
      </c>
      <c r="D25" s="11" t="n">
        <v>830</v>
      </c>
      <c r="E25" s="11"/>
      <c r="F25" s="12" t="s">
        <v>34</v>
      </c>
    </row>
    <row r="26" customFormat="false" ht="15" hidden="false" customHeight="true" outlineLevel="0" collapsed="false">
      <c r="A26" s="7" t="s">
        <v>36</v>
      </c>
      <c r="B26" s="8" t="n">
        <v>1300</v>
      </c>
      <c r="C26" s="8" t="n">
        <v>1125</v>
      </c>
      <c r="D26" s="8" t="n">
        <v>980</v>
      </c>
      <c r="E26" s="8"/>
      <c r="F26" s="9" t="s">
        <v>34</v>
      </c>
    </row>
    <row r="27" customFormat="false" ht="15" hidden="false" customHeight="true" outlineLevel="0" collapsed="false">
      <c r="A27" s="10" t="s">
        <v>37</v>
      </c>
      <c r="B27" s="11" t="n">
        <v>1300</v>
      </c>
      <c r="C27" s="11" t="n">
        <v>1150</v>
      </c>
      <c r="D27" s="11" t="n">
        <v>1010</v>
      </c>
      <c r="E27" s="11"/>
      <c r="F27" s="12" t="s">
        <v>38</v>
      </c>
    </row>
    <row r="28" customFormat="false" ht="15" hidden="false" customHeight="true" outlineLevel="0" collapsed="false">
      <c r="A28" s="7" t="s">
        <v>39</v>
      </c>
      <c r="B28" s="8" t="n">
        <v>1400</v>
      </c>
      <c r="C28" s="8" t="n">
        <v>1225</v>
      </c>
      <c r="D28" s="8" t="n">
        <v>1080</v>
      </c>
      <c r="E28" s="8"/>
      <c r="F28" s="9" t="s">
        <v>34</v>
      </c>
    </row>
    <row r="29" customFormat="false" ht="15" hidden="false" customHeight="true" outlineLevel="0" collapsed="false">
      <c r="A29" s="10" t="s">
        <v>40</v>
      </c>
      <c r="B29" s="11" t="n">
        <v>1400</v>
      </c>
      <c r="C29" s="11" t="n">
        <v>1250</v>
      </c>
      <c r="D29" s="11" t="n">
        <v>1110</v>
      </c>
      <c r="E29" s="11"/>
      <c r="F29" s="12" t="s">
        <v>38</v>
      </c>
    </row>
    <row r="30" customFormat="false" ht="15" hidden="false" customHeight="true" outlineLevel="0" collapsed="false">
      <c r="A30" s="5" t="s">
        <v>41</v>
      </c>
      <c r="B30" s="6" t="s">
        <v>27</v>
      </c>
      <c r="C30" s="6" t="s">
        <v>42</v>
      </c>
      <c r="D30" s="6" t="s">
        <v>43</v>
      </c>
      <c r="E30" s="6" t="s">
        <v>44</v>
      </c>
      <c r="F30" s="6" t="s">
        <v>45</v>
      </c>
    </row>
    <row r="31" customFormat="false" ht="15" hidden="false" customHeight="true" outlineLevel="0" collapsed="false">
      <c r="A31" s="10" t="s">
        <v>46</v>
      </c>
      <c r="B31" s="11" t="n">
        <v>1800</v>
      </c>
      <c r="C31" s="11" t="n">
        <v>1700</v>
      </c>
      <c r="D31" s="11" t="n">
        <v>1650</v>
      </c>
      <c r="E31" s="11" t="n">
        <v>1500</v>
      </c>
      <c r="F31" s="11" t="n">
        <v>1400</v>
      </c>
    </row>
    <row r="32" customFormat="false" ht="15" hidden="false" customHeight="true" outlineLevel="0" collapsed="false">
      <c r="A32" s="7" t="s">
        <v>47</v>
      </c>
      <c r="B32" s="8" t="n">
        <v>1900</v>
      </c>
      <c r="C32" s="8" t="n">
        <v>1800</v>
      </c>
      <c r="D32" s="8" t="n">
        <v>1750</v>
      </c>
      <c r="E32" s="8" t="n">
        <v>1600</v>
      </c>
      <c r="F32" s="8" t="n">
        <v>1500</v>
      </c>
    </row>
    <row r="34" customFormat="false" ht="18" hidden="false" customHeight="true" outlineLevel="0" collapsed="false">
      <c r="A34" s="4" t="s">
        <v>48</v>
      </c>
      <c r="B34" s="4"/>
      <c r="C34" s="4"/>
      <c r="D34" s="4"/>
      <c r="E34" s="4"/>
      <c r="F34" s="4"/>
    </row>
    <row r="35" customFormat="false" ht="15" hidden="false" customHeight="true" outlineLevel="0" collapsed="false">
      <c r="A35" s="5" t="s">
        <v>3</v>
      </c>
      <c r="B35" s="6" t="s">
        <v>4</v>
      </c>
      <c r="C35" s="6" t="s">
        <v>49</v>
      </c>
      <c r="D35" s="6" t="s">
        <v>50</v>
      </c>
      <c r="E35" s="6" t="s">
        <v>51</v>
      </c>
      <c r="F35" s="6" t="s">
        <v>7</v>
      </c>
    </row>
    <row r="36" customFormat="false" ht="15" hidden="false" customHeight="true" outlineLevel="0" collapsed="false">
      <c r="A36" s="7" t="s">
        <v>52</v>
      </c>
      <c r="B36" s="8" t="n">
        <v>999</v>
      </c>
      <c r="C36" s="8" t="n">
        <v>849.15</v>
      </c>
      <c r="D36" s="8" t="n">
        <v>749.25</v>
      </c>
      <c r="E36" s="8" t="n">
        <v>699.3</v>
      </c>
      <c r="F36" s="9" t="s">
        <v>53</v>
      </c>
    </row>
    <row r="37" customFormat="false" ht="15" hidden="false" customHeight="true" outlineLevel="0" collapsed="false">
      <c r="A37" s="10" t="s">
        <v>54</v>
      </c>
      <c r="B37" s="11" t="n">
        <v>1049</v>
      </c>
      <c r="C37" s="11" t="n">
        <v>891.65</v>
      </c>
      <c r="D37" s="11" t="n">
        <v>786.75</v>
      </c>
      <c r="E37" s="11" t="n">
        <v>734.3</v>
      </c>
      <c r="F37" s="12" t="s">
        <v>55</v>
      </c>
    </row>
    <row r="38" customFormat="false" ht="15" hidden="false" customHeight="true" outlineLevel="0" collapsed="false">
      <c r="A38" s="7" t="s">
        <v>56</v>
      </c>
      <c r="B38" s="8" t="n">
        <v>999</v>
      </c>
      <c r="C38" s="8" t="n">
        <v>849.15</v>
      </c>
      <c r="D38" s="8" t="n">
        <v>749.25</v>
      </c>
      <c r="E38" s="8" t="n">
        <v>699.3</v>
      </c>
      <c r="F38" s="9" t="s">
        <v>53</v>
      </c>
    </row>
    <row r="39" customFormat="false" ht="15" hidden="false" customHeight="true" outlineLevel="0" collapsed="false">
      <c r="A39" s="10" t="s">
        <v>57</v>
      </c>
      <c r="B39" s="11" t="n">
        <v>1049</v>
      </c>
      <c r="C39" s="11" t="n">
        <v>891.65</v>
      </c>
      <c r="D39" s="11" t="n">
        <v>786.75</v>
      </c>
      <c r="E39" s="11" t="n">
        <v>734.3</v>
      </c>
      <c r="F39" s="12" t="s">
        <v>55</v>
      </c>
    </row>
    <row r="40" customFormat="false" ht="15" hidden="false" customHeight="true" outlineLevel="0" collapsed="false">
      <c r="A40" s="7" t="s">
        <v>58</v>
      </c>
      <c r="B40" s="8" t="n">
        <v>1099</v>
      </c>
      <c r="C40" s="8" t="n">
        <v>934.15</v>
      </c>
      <c r="D40" s="8" t="n">
        <v>824.25</v>
      </c>
      <c r="E40" s="8" t="n">
        <v>769.3</v>
      </c>
      <c r="F40" s="9"/>
    </row>
    <row r="41" customFormat="false" ht="15" hidden="false" customHeight="true" outlineLevel="0" collapsed="false">
      <c r="A41" s="10" t="s">
        <v>59</v>
      </c>
      <c r="B41" s="11" t="n">
        <v>1099</v>
      </c>
      <c r="C41" s="11" t="n">
        <v>934.15</v>
      </c>
      <c r="D41" s="11" t="n">
        <v>824.25</v>
      </c>
      <c r="E41" s="11" t="n">
        <v>769.3</v>
      </c>
      <c r="F41" s="12"/>
    </row>
    <row r="42" customFormat="false" ht="15" hidden="false" customHeight="true" outlineLevel="0" collapsed="false">
      <c r="A42" s="7" t="s">
        <v>60</v>
      </c>
      <c r="B42" s="8" t="n">
        <v>1149</v>
      </c>
      <c r="C42" s="8" t="n">
        <v>976.65</v>
      </c>
      <c r="D42" s="8" t="n">
        <v>861.75</v>
      </c>
      <c r="E42" s="8" t="n">
        <v>804.3</v>
      </c>
      <c r="F42" s="9" t="s">
        <v>61</v>
      </c>
    </row>
    <row r="43" customFormat="false" ht="15" hidden="false" customHeight="true" outlineLevel="0" collapsed="false">
      <c r="A43" s="10" t="s">
        <v>62</v>
      </c>
      <c r="B43" s="11" t="n">
        <v>1199</v>
      </c>
      <c r="C43" s="11" t="n">
        <v>1019.15</v>
      </c>
      <c r="D43" s="11" t="n">
        <v>899.25</v>
      </c>
      <c r="E43" s="11" t="n">
        <v>839.3</v>
      </c>
      <c r="F43" s="12"/>
    </row>
    <row r="44" customFormat="false" ht="15" hidden="false" customHeight="true" outlineLevel="0" collapsed="false">
      <c r="A44" s="7" t="s">
        <v>63</v>
      </c>
      <c r="B44" s="8" t="n">
        <v>1199</v>
      </c>
      <c r="C44" s="8" t="n">
        <v>1019.15</v>
      </c>
      <c r="D44" s="8" t="n">
        <v>899.25</v>
      </c>
      <c r="E44" s="8" t="n">
        <v>839.3</v>
      </c>
      <c r="F44" s="9"/>
    </row>
    <row r="45" customFormat="false" ht="15" hidden="false" customHeight="true" outlineLevel="0" collapsed="false">
      <c r="A45" s="10" t="s">
        <v>64</v>
      </c>
      <c r="B45" s="11" t="n">
        <v>1249</v>
      </c>
      <c r="C45" s="11" t="n">
        <v>1061.65</v>
      </c>
      <c r="D45" s="11" t="n">
        <v>936.75</v>
      </c>
      <c r="E45" s="11" t="n">
        <v>874.3</v>
      </c>
      <c r="F45" s="12" t="s">
        <v>61</v>
      </c>
    </row>
    <row r="46" customFormat="false" ht="15" hidden="false" customHeight="true" outlineLevel="0" collapsed="false">
      <c r="A46" s="7" t="s">
        <v>65</v>
      </c>
      <c r="B46" s="8" t="n">
        <v>1149</v>
      </c>
      <c r="C46" s="8" t="n">
        <v>976.65</v>
      </c>
      <c r="D46" s="8" t="n">
        <v>861.75</v>
      </c>
      <c r="E46" s="8" t="n">
        <v>804.3</v>
      </c>
      <c r="F46" s="9"/>
    </row>
    <row r="47" customFormat="false" ht="15" hidden="false" customHeight="true" outlineLevel="0" collapsed="false">
      <c r="A47" s="10" t="s">
        <v>66</v>
      </c>
      <c r="B47" s="11" t="n">
        <v>1149</v>
      </c>
      <c r="C47" s="11" t="n">
        <v>976.65</v>
      </c>
      <c r="D47" s="11" t="n">
        <v>861.75</v>
      </c>
      <c r="E47" s="11" t="n">
        <v>804.3</v>
      </c>
      <c r="F47" s="12"/>
    </row>
    <row r="48" customFormat="false" ht="15" hidden="false" customHeight="true" outlineLevel="0" collapsed="false">
      <c r="A48" s="7" t="s">
        <v>67</v>
      </c>
      <c r="B48" s="8" t="n">
        <v>1199</v>
      </c>
      <c r="C48" s="8" t="n">
        <v>1019.15</v>
      </c>
      <c r="D48" s="8" t="n">
        <v>899.25</v>
      </c>
      <c r="E48" s="8" t="n">
        <v>839.3</v>
      </c>
      <c r="F48" s="9"/>
    </row>
    <row r="49" customFormat="false" ht="15" hidden="false" customHeight="true" outlineLevel="0" collapsed="false">
      <c r="A49" s="10" t="s">
        <v>68</v>
      </c>
      <c r="B49" s="11" t="n">
        <v>999</v>
      </c>
      <c r="C49" s="11" t="n">
        <v>849.15</v>
      </c>
      <c r="D49" s="11" t="n">
        <v>749.25</v>
      </c>
      <c r="E49" s="11" t="n">
        <v>699.3</v>
      </c>
      <c r="F49" s="12"/>
    </row>
    <row r="50" customFormat="false" ht="15" hidden="false" customHeight="true" outlineLevel="0" collapsed="false">
      <c r="A50" s="7" t="s">
        <v>69</v>
      </c>
      <c r="B50" s="8" t="n">
        <v>1400</v>
      </c>
      <c r="C50" s="8" t="n">
        <v>1190</v>
      </c>
      <c r="D50" s="8" t="n">
        <v>1050</v>
      </c>
      <c r="E50" s="8" t="n">
        <v>980</v>
      </c>
      <c r="F50" s="9"/>
    </row>
    <row r="51" customFormat="false" ht="15" hidden="false" customHeight="true" outlineLevel="0" collapsed="false">
      <c r="A51" s="10" t="s">
        <v>70</v>
      </c>
      <c r="B51" s="11" t="n">
        <v>1450</v>
      </c>
      <c r="C51" s="11" t="n">
        <v>1232.5</v>
      </c>
      <c r="D51" s="11" t="n">
        <v>1087.5</v>
      </c>
      <c r="E51" s="11" t="n">
        <v>1015</v>
      </c>
      <c r="F51" s="12"/>
    </row>
    <row r="52" customFormat="false" ht="15" hidden="false" customHeight="true" outlineLevel="0" collapsed="false">
      <c r="A52" s="7" t="s">
        <v>71</v>
      </c>
      <c r="B52" s="8" t="n">
        <v>1500</v>
      </c>
      <c r="C52" s="8" t="n">
        <v>1275</v>
      </c>
      <c r="D52" s="8" t="n">
        <v>1125</v>
      </c>
      <c r="E52" s="8" t="n">
        <v>1050</v>
      </c>
      <c r="F52" s="9"/>
    </row>
    <row r="53" customFormat="false" ht="15" hidden="false" customHeight="true" outlineLevel="0" collapsed="false">
      <c r="A53" s="10" t="s">
        <v>72</v>
      </c>
      <c r="B53" s="11" t="n">
        <v>1600</v>
      </c>
      <c r="C53" s="11" t="n">
        <v>1360</v>
      </c>
      <c r="D53" s="11" t="n">
        <v>1200</v>
      </c>
      <c r="E53" s="11" t="n">
        <v>1120</v>
      </c>
      <c r="F53" s="12"/>
    </row>
    <row r="54" customFormat="false" ht="15" hidden="false" customHeight="true" outlineLevel="0" collapsed="false">
      <c r="A54" s="7" t="s">
        <v>73</v>
      </c>
      <c r="B54" s="8" t="n">
        <v>1450</v>
      </c>
      <c r="C54" s="8" t="n">
        <v>1232.5</v>
      </c>
      <c r="D54" s="8" t="n">
        <v>1087.5</v>
      </c>
      <c r="E54" s="8" t="n">
        <v>1015</v>
      </c>
      <c r="F54" s="9"/>
    </row>
    <row r="55" customFormat="false" ht="15" hidden="false" customHeight="true" outlineLevel="0" collapsed="false">
      <c r="A55" s="10" t="s">
        <v>74</v>
      </c>
      <c r="B55" s="11" t="n">
        <v>1500</v>
      </c>
      <c r="C55" s="11" t="n">
        <v>1275</v>
      </c>
      <c r="D55" s="11" t="n">
        <v>1125</v>
      </c>
      <c r="E55" s="11" t="n">
        <v>1050</v>
      </c>
      <c r="F55" s="12"/>
    </row>
    <row r="56" customFormat="false" ht="15" hidden="false" customHeight="true" outlineLevel="0" collapsed="false">
      <c r="A56" s="7" t="s">
        <v>75</v>
      </c>
      <c r="B56" s="8" t="n">
        <v>1500</v>
      </c>
      <c r="C56" s="8" t="n">
        <v>1275</v>
      </c>
      <c r="D56" s="8" t="n">
        <v>1125</v>
      </c>
      <c r="E56" s="8" t="n">
        <v>1050</v>
      </c>
      <c r="F56" s="9"/>
    </row>
    <row r="57" customFormat="false" ht="15" hidden="false" customHeight="true" outlineLevel="0" collapsed="false">
      <c r="A57" s="10" t="s">
        <v>76</v>
      </c>
      <c r="B57" s="11" t="n">
        <v>1550</v>
      </c>
      <c r="C57" s="11" t="n">
        <v>1317.5</v>
      </c>
      <c r="D57" s="11" t="n">
        <v>1162.5</v>
      </c>
      <c r="E57" s="11" t="n">
        <v>1085</v>
      </c>
      <c r="F57" s="12"/>
    </row>
    <row r="58" customFormat="false" ht="15" hidden="false" customHeight="true" outlineLevel="0" collapsed="false">
      <c r="A58" s="7" t="s">
        <v>77</v>
      </c>
      <c r="B58" s="8" t="n">
        <v>1600</v>
      </c>
      <c r="C58" s="8" t="n">
        <v>1360</v>
      </c>
      <c r="D58" s="8" t="n">
        <v>1200</v>
      </c>
      <c r="E58" s="8" t="n">
        <v>1120</v>
      </c>
      <c r="F58" s="9"/>
    </row>
    <row r="59" customFormat="false" ht="15" hidden="false" customHeight="true" outlineLevel="0" collapsed="false">
      <c r="A59" s="10" t="s">
        <v>78</v>
      </c>
      <c r="B59" s="11" t="n">
        <v>1600</v>
      </c>
      <c r="C59" s="11" t="n">
        <v>1360</v>
      </c>
      <c r="D59" s="11" t="n">
        <v>1200</v>
      </c>
      <c r="E59" s="11" t="n">
        <v>1120</v>
      </c>
      <c r="F59" s="12" t="s">
        <v>79</v>
      </c>
    </row>
    <row r="61" customFormat="false" ht="18" hidden="false" customHeight="true" outlineLevel="0" collapsed="false">
      <c r="A61" s="4" t="s">
        <v>80</v>
      </c>
      <c r="B61" s="4"/>
      <c r="C61" s="4"/>
      <c r="D61" s="4"/>
      <c r="E61" s="4"/>
      <c r="F61" s="4"/>
    </row>
    <row r="62" customFormat="false" ht="15" hidden="false" customHeight="true" outlineLevel="0" collapsed="false">
      <c r="A62" s="5" t="s">
        <v>3</v>
      </c>
      <c r="B62" s="6" t="s">
        <v>81</v>
      </c>
      <c r="C62" s="6" t="s">
        <v>82</v>
      </c>
      <c r="D62" s="6" t="s">
        <v>83</v>
      </c>
      <c r="E62" s="6" t="s">
        <v>84</v>
      </c>
      <c r="F62" s="6" t="s">
        <v>85</v>
      </c>
    </row>
    <row r="63" customFormat="false" ht="15" hidden="false" customHeight="true" outlineLevel="0" collapsed="false">
      <c r="A63" s="7" t="s">
        <v>86</v>
      </c>
      <c r="B63" s="8" t="n">
        <v>1106</v>
      </c>
      <c r="C63" s="8" t="n">
        <v>895.9</v>
      </c>
      <c r="D63" s="8" t="n">
        <v>843.2</v>
      </c>
      <c r="E63" s="8" t="n">
        <v>790.5</v>
      </c>
      <c r="F63" s="9" t="s">
        <v>87</v>
      </c>
    </row>
    <row r="64" customFormat="false" ht="15" hidden="false" customHeight="true" outlineLevel="0" collapsed="false">
      <c r="A64" s="10" t="s">
        <v>88</v>
      </c>
      <c r="B64" s="11" t="n">
        <v>1106</v>
      </c>
      <c r="C64" s="11" t="n">
        <v>895.9</v>
      </c>
      <c r="D64" s="11" t="n">
        <v>843.2</v>
      </c>
      <c r="E64" s="11" t="n">
        <v>790.5</v>
      </c>
      <c r="F64" s="12" t="s">
        <v>87</v>
      </c>
    </row>
    <row r="65" customFormat="false" ht="15" hidden="false" customHeight="true" outlineLevel="0" collapsed="false">
      <c r="A65" s="7" t="s">
        <v>89</v>
      </c>
      <c r="B65" s="8" t="n">
        <v>1147</v>
      </c>
      <c r="C65" s="8" t="n">
        <v>929.9</v>
      </c>
      <c r="D65" s="8" t="n">
        <v>875.2</v>
      </c>
      <c r="E65" s="8" t="n">
        <v>820.5</v>
      </c>
      <c r="F65" s="9" t="s">
        <v>87</v>
      </c>
    </row>
    <row r="66" customFormat="false" ht="15" hidden="false" customHeight="true" outlineLevel="0" collapsed="false">
      <c r="A66" s="10" t="s">
        <v>90</v>
      </c>
      <c r="B66" s="11" t="n">
        <v>1147</v>
      </c>
      <c r="C66" s="11" t="n">
        <v>929.9</v>
      </c>
      <c r="D66" s="11" t="n">
        <v>875.2</v>
      </c>
      <c r="E66" s="11" t="n">
        <v>820.5</v>
      </c>
      <c r="F66" s="12" t="s">
        <v>87</v>
      </c>
    </row>
    <row r="67" customFormat="false" ht="15" hidden="false" customHeight="true" outlineLevel="0" collapsed="false">
      <c r="A67" s="7" t="s">
        <v>91</v>
      </c>
      <c r="B67" s="8" t="n">
        <v>1847.5</v>
      </c>
      <c r="C67" s="8" t="n">
        <v>1510.24</v>
      </c>
      <c r="D67" s="8" t="n">
        <v>1421.4</v>
      </c>
      <c r="E67" s="8" t="n">
        <v>1332.56</v>
      </c>
      <c r="F67" s="9" t="s">
        <v>87</v>
      </c>
    </row>
    <row r="68" customFormat="false" ht="15" hidden="false" customHeight="true" outlineLevel="0" collapsed="false">
      <c r="A68" s="10" t="s">
        <v>92</v>
      </c>
      <c r="B68" s="11" t="n">
        <v>1357.5</v>
      </c>
      <c r="C68" s="11" t="n">
        <v>1104.15</v>
      </c>
      <c r="D68" s="11" t="n">
        <v>1039.2</v>
      </c>
      <c r="E68" s="11" t="n">
        <v>974.25</v>
      </c>
      <c r="F68" s="12" t="s">
        <v>87</v>
      </c>
    </row>
    <row r="69" customFormat="false" ht="15" hidden="false" customHeight="true" outlineLevel="0" collapsed="false">
      <c r="A69" s="7" t="s">
        <v>93</v>
      </c>
      <c r="B69" s="8" t="n">
        <v>1299</v>
      </c>
      <c r="C69" s="8" t="n">
        <v>1055.7</v>
      </c>
      <c r="D69" s="8" t="n">
        <v>993.6</v>
      </c>
      <c r="E69" s="8" t="n">
        <v>931.5</v>
      </c>
      <c r="F69" s="9" t="s">
        <v>94</v>
      </c>
    </row>
    <row r="70" customFormat="false" ht="15" hidden="false" customHeight="true" outlineLevel="0" collapsed="false">
      <c r="A70" s="10" t="s">
        <v>95</v>
      </c>
      <c r="B70" s="11" t="n">
        <v>1360</v>
      </c>
      <c r="C70" s="11" t="n">
        <v>1106.7</v>
      </c>
      <c r="D70" s="11" t="n">
        <v>1041.6</v>
      </c>
      <c r="E70" s="11" t="n">
        <v>976.5</v>
      </c>
      <c r="F70" s="12" t="s">
        <v>94</v>
      </c>
    </row>
    <row r="71" customFormat="false" ht="15" hidden="false" customHeight="true" outlineLevel="0" collapsed="false">
      <c r="A71" s="7" t="s">
        <v>96</v>
      </c>
      <c r="B71" s="8"/>
      <c r="C71" s="8"/>
      <c r="D71" s="8"/>
      <c r="E71" s="8"/>
      <c r="F71" s="8" t="s">
        <v>97</v>
      </c>
    </row>
    <row r="72" customFormat="false" ht="15" hidden="false" customHeight="true" outlineLevel="0" collapsed="false">
      <c r="A72" s="10" t="s">
        <v>98</v>
      </c>
      <c r="B72" s="11" t="n">
        <v>1148</v>
      </c>
      <c r="C72" s="11" t="n">
        <v>930.75</v>
      </c>
      <c r="D72" s="11" t="n">
        <v>876</v>
      </c>
      <c r="E72" s="11" t="n">
        <v>821.25</v>
      </c>
      <c r="F72" s="12" t="s">
        <v>99</v>
      </c>
    </row>
    <row r="74" customFormat="false" ht="18" hidden="false" customHeight="true" outlineLevel="0" collapsed="false">
      <c r="A74" s="4" t="s">
        <v>100</v>
      </c>
      <c r="B74" s="4"/>
      <c r="C74" s="4"/>
      <c r="D74" s="4"/>
      <c r="E74" s="4"/>
      <c r="F74" s="4"/>
    </row>
    <row r="75" customFormat="false" ht="15" hidden="false" customHeight="true" outlineLevel="0" collapsed="false">
      <c r="A75" s="5" t="s">
        <v>3</v>
      </c>
      <c r="B75" s="6" t="s">
        <v>101</v>
      </c>
      <c r="C75" s="6" t="s">
        <v>102</v>
      </c>
      <c r="D75" s="6" t="s">
        <v>4</v>
      </c>
      <c r="E75" s="6"/>
      <c r="F75" s="6" t="s">
        <v>7</v>
      </c>
    </row>
    <row r="76" customFormat="false" ht="15" hidden="false" customHeight="true" outlineLevel="0" collapsed="false">
      <c r="A76" s="7" t="s">
        <v>103</v>
      </c>
      <c r="B76" s="8" t="n">
        <v>1200</v>
      </c>
      <c r="C76" s="8" t="n">
        <v>1150</v>
      </c>
      <c r="D76" s="8" t="n">
        <v>1450</v>
      </c>
      <c r="E76" s="8"/>
      <c r="F76" s="9" t="s">
        <v>104</v>
      </c>
    </row>
    <row r="77" customFormat="false" ht="15" hidden="false" customHeight="true" outlineLevel="0" collapsed="false">
      <c r="A77" s="10" t="s">
        <v>105</v>
      </c>
      <c r="B77" s="11" t="n">
        <v>1300</v>
      </c>
      <c r="C77" s="11" t="n">
        <v>1250</v>
      </c>
      <c r="D77" s="11" t="n">
        <v>1550</v>
      </c>
      <c r="E77" s="11"/>
      <c r="F77" s="12" t="s">
        <v>106</v>
      </c>
    </row>
    <row r="78" customFormat="false" ht="15" hidden="false" customHeight="true" outlineLevel="0" collapsed="false">
      <c r="A78" s="7" t="s">
        <v>107</v>
      </c>
      <c r="B78" s="8" t="n">
        <v>1500</v>
      </c>
      <c r="C78" s="8" t="n">
        <v>1450</v>
      </c>
      <c r="D78" s="8" t="n">
        <v>1750</v>
      </c>
      <c r="E78" s="8"/>
      <c r="F78" s="9" t="s">
        <v>20</v>
      </c>
    </row>
    <row r="79" customFormat="false" ht="15" hidden="false" customHeight="true" outlineLevel="0" collapsed="false">
      <c r="A79" s="10" t="s">
        <v>108</v>
      </c>
      <c r="B79" s="11" t="n">
        <v>1600</v>
      </c>
      <c r="C79" s="11" t="n">
        <v>1550</v>
      </c>
      <c r="D79" s="11" t="n">
        <v>1850</v>
      </c>
      <c r="E79" s="11"/>
      <c r="F79" s="12" t="s">
        <v>109</v>
      </c>
    </row>
    <row r="80" customFormat="false" ht="15" hidden="false" customHeight="true" outlineLevel="0" collapsed="false">
      <c r="A80" s="7" t="s">
        <v>110</v>
      </c>
      <c r="B80" s="8" t="n">
        <v>975</v>
      </c>
      <c r="C80" s="8" t="n">
        <v>925</v>
      </c>
      <c r="D80" s="8" t="n">
        <v>1200</v>
      </c>
      <c r="E80" s="8"/>
      <c r="F80" s="9" t="s">
        <v>111</v>
      </c>
    </row>
    <row r="81" customFormat="false" ht="15" hidden="false" customHeight="true" outlineLevel="0" collapsed="false">
      <c r="A81" s="10" t="s">
        <v>112</v>
      </c>
      <c r="B81" s="11" t="n">
        <v>1300</v>
      </c>
      <c r="C81" s="11" t="n">
        <v>1250</v>
      </c>
      <c r="D81" s="11" t="n">
        <v>1550</v>
      </c>
      <c r="E81" s="11"/>
      <c r="F81" s="12" t="s">
        <v>20</v>
      </c>
    </row>
    <row r="82" customFormat="false" ht="15" hidden="false" customHeight="true" outlineLevel="0" collapsed="false">
      <c r="A82" s="7" t="s">
        <v>113</v>
      </c>
      <c r="B82" s="8" t="n">
        <v>1400</v>
      </c>
      <c r="C82" s="8" t="n">
        <v>1350</v>
      </c>
      <c r="D82" s="8" t="n">
        <v>1650</v>
      </c>
      <c r="E82" s="8"/>
      <c r="F82" s="9" t="s">
        <v>109</v>
      </c>
    </row>
    <row r="84" customFormat="false" ht="18" hidden="false" customHeight="true" outlineLevel="0" collapsed="false">
      <c r="A84" s="4" t="s">
        <v>114</v>
      </c>
      <c r="B84" s="4"/>
      <c r="C84" s="4"/>
      <c r="D84" s="4"/>
      <c r="E84" s="4"/>
      <c r="F84" s="4"/>
    </row>
    <row r="85" customFormat="false" ht="15" hidden="false" customHeight="true" outlineLevel="0" collapsed="false">
      <c r="A85" s="5" t="s">
        <v>3</v>
      </c>
      <c r="B85" s="6" t="s">
        <v>81</v>
      </c>
      <c r="C85" s="6" t="s">
        <v>115</v>
      </c>
      <c r="D85" s="6"/>
      <c r="E85" s="6"/>
      <c r="F85" s="6" t="s">
        <v>7</v>
      </c>
    </row>
    <row r="86" customFormat="false" ht="15" hidden="false" customHeight="true" outlineLevel="0" collapsed="false">
      <c r="A86" s="7" t="s">
        <v>116</v>
      </c>
      <c r="B86" s="8" t="n">
        <v>890</v>
      </c>
      <c r="C86" s="8" t="n">
        <v>712</v>
      </c>
      <c r="D86" s="8"/>
      <c r="E86" s="8"/>
      <c r="F86" s="9" t="s">
        <v>117</v>
      </c>
    </row>
    <row r="87" customFormat="false" ht="15" hidden="false" customHeight="true" outlineLevel="0" collapsed="false">
      <c r="A87" s="10" t="s">
        <v>118</v>
      </c>
      <c r="B87" s="11" t="n">
        <v>905</v>
      </c>
      <c r="C87" s="11" t="n">
        <v>724</v>
      </c>
      <c r="D87" s="11"/>
      <c r="E87" s="11"/>
      <c r="F87" s="12" t="s">
        <v>117</v>
      </c>
    </row>
    <row r="88" customFormat="false" ht="15" hidden="false" customHeight="true" outlineLevel="0" collapsed="false">
      <c r="A88" s="7" t="s">
        <v>119</v>
      </c>
      <c r="B88" s="8" t="n">
        <v>948</v>
      </c>
      <c r="C88" s="8" t="n">
        <v>758.4</v>
      </c>
      <c r="D88" s="8"/>
      <c r="E88" s="8"/>
      <c r="F88" s="9" t="s">
        <v>120</v>
      </c>
    </row>
    <row r="89" customFormat="false" ht="15" hidden="false" customHeight="true" outlineLevel="0" collapsed="false">
      <c r="A89" s="10" t="s">
        <v>121</v>
      </c>
      <c r="B89" s="11" t="n">
        <v>1098</v>
      </c>
      <c r="C89" s="11" t="n">
        <v>878.4</v>
      </c>
      <c r="D89" s="11"/>
      <c r="E89" s="11"/>
      <c r="F89" s="12" t="s">
        <v>122</v>
      </c>
    </row>
    <row r="90" customFormat="false" ht="15" hidden="false" customHeight="true" outlineLevel="0" collapsed="false">
      <c r="A90" s="7" t="s">
        <v>123</v>
      </c>
      <c r="B90" s="8" t="n">
        <v>1098</v>
      </c>
      <c r="C90" s="8" t="n">
        <v>878.4</v>
      </c>
      <c r="D90" s="8"/>
      <c r="E90" s="8"/>
      <c r="F90" s="9" t="s">
        <v>124</v>
      </c>
    </row>
    <row r="91" customFormat="false" ht="15" hidden="false" customHeight="true" outlineLevel="0" collapsed="false">
      <c r="A91" s="10" t="s">
        <v>125</v>
      </c>
      <c r="B91" s="11" t="n">
        <v>1190</v>
      </c>
      <c r="C91" s="11" t="n">
        <v>952</v>
      </c>
      <c r="D91" s="11"/>
      <c r="E91" s="11"/>
      <c r="F91" s="12"/>
    </row>
    <row r="92" customFormat="false" ht="15" hidden="false" customHeight="true" outlineLevel="0" collapsed="false">
      <c r="A92" s="7" t="s">
        <v>126</v>
      </c>
      <c r="B92" s="8" t="n">
        <v>1190</v>
      </c>
      <c r="C92" s="8" t="n">
        <v>952</v>
      </c>
      <c r="D92" s="8"/>
      <c r="E92" s="8"/>
      <c r="F92" s="9" t="s">
        <v>127</v>
      </c>
    </row>
    <row r="93" customFormat="false" ht="15" hidden="false" customHeight="true" outlineLevel="0" collapsed="false">
      <c r="A93" s="10" t="s">
        <v>128</v>
      </c>
      <c r="B93" s="11" t="n">
        <v>1295</v>
      </c>
      <c r="C93" s="11" t="n">
        <v>1036</v>
      </c>
      <c r="D93" s="11"/>
      <c r="E93" s="11"/>
      <c r="F93" s="12" t="s">
        <v>129</v>
      </c>
    </row>
    <row r="94" customFormat="false" ht="15" hidden="false" customHeight="true" outlineLevel="0" collapsed="false">
      <c r="A94" s="7" t="s">
        <v>130</v>
      </c>
      <c r="B94" s="8" t="n">
        <v>1320</v>
      </c>
      <c r="C94" s="8" t="n">
        <v>1056</v>
      </c>
      <c r="D94" s="8"/>
      <c r="E94" s="8"/>
      <c r="F94" s="9" t="s">
        <v>129</v>
      </c>
    </row>
    <row r="95" customFormat="false" ht="15" hidden="false" customHeight="true" outlineLevel="0" collapsed="false">
      <c r="A95" s="10" t="s">
        <v>131</v>
      </c>
      <c r="B95" s="11" t="n">
        <v>1325</v>
      </c>
      <c r="C95" s="11" t="n">
        <v>1060</v>
      </c>
      <c r="D95" s="11"/>
      <c r="E95" s="11"/>
      <c r="F95" s="12" t="s">
        <v>132</v>
      </c>
    </row>
    <row r="96" customFormat="false" ht="15" hidden="false" customHeight="true" outlineLevel="0" collapsed="false">
      <c r="A96" s="7" t="s">
        <v>133</v>
      </c>
      <c r="B96" s="8" t="n">
        <v>50</v>
      </c>
      <c r="C96" s="8" t="n">
        <v>40</v>
      </c>
      <c r="D96" s="8"/>
      <c r="E96" s="8"/>
      <c r="F96" s="9" t="s">
        <v>134</v>
      </c>
    </row>
    <row r="97" customFormat="false" ht="15" hidden="false" customHeight="true" outlineLevel="0" collapsed="false">
      <c r="A97" s="10" t="s">
        <v>135</v>
      </c>
      <c r="B97" s="11" t="n">
        <v>200</v>
      </c>
      <c r="C97" s="11" t="n">
        <v>200</v>
      </c>
      <c r="D97" s="11"/>
      <c r="E97" s="11"/>
      <c r="F97" s="12" t="s">
        <v>136</v>
      </c>
    </row>
    <row r="99" customFormat="false" ht="18" hidden="false" customHeight="true" outlineLevel="0" collapsed="false">
      <c r="A99" s="4" t="s">
        <v>137</v>
      </c>
      <c r="B99" s="4"/>
      <c r="C99" s="4"/>
      <c r="D99" s="4"/>
      <c r="E99" s="4"/>
      <c r="F99" s="4"/>
    </row>
    <row r="100" customFormat="false" ht="15" hidden="false" customHeight="true" outlineLevel="0" collapsed="false">
      <c r="A100" s="5" t="s">
        <v>3</v>
      </c>
      <c r="B100" s="6" t="s">
        <v>4</v>
      </c>
      <c r="C100" s="6" t="s">
        <v>138</v>
      </c>
      <c r="D100" s="6"/>
      <c r="E100" s="6"/>
      <c r="F100" s="6" t="s">
        <v>7</v>
      </c>
    </row>
    <row r="101" customFormat="false" ht="15" hidden="false" customHeight="true" outlineLevel="0" collapsed="false">
      <c r="A101" s="7" t="s">
        <v>139</v>
      </c>
      <c r="B101" s="8" t="n">
        <v>775</v>
      </c>
      <c r="C101" s="8" t="n">
        <v>700</v>
      </c>
      <c r="D101" s="8"/>
      <c r="E101" s="8"/>
      <c r="F101" s="9" t="s">
        <v>140</v>
      </c>
    </row>
    <row r="102" customFormat="false" ht="15" hidden="false" customHeight="true" outlineLevel="0" collapsed="false">
      <c r="A102" s="10" t="s">
        <v>141</v>
      </c>
      <c r="B102" s="11" t="n">
        <v>799</v>
      </c>
      <c r="C102" s="11" t="n">
        <v>724</v>
      </c>
      <c r="D102" s="11"/>
      <c r="E102" s="11"/>
      <c r="F102" s="12" t="s">
        <v>140</v>
      </c>
    </row>
    <row r="103" customFormat="false" ht="15" hidden="false" customHeight="true" outlineLevel="0" collapsed="false">
      <c r="A103" s="7" t="s">
        <v>142</v>
      </c>
      <c r="B103" s="8" t="n">
        <v>775</v>
      </c>
      <c r="C103" s="8" t="n">
        <v>700</v>
      </c>
      <c r="D103" s="8"/>
      <c r="E103" s="8"/>
      <c r="F103" s="9"/>
    </row>
    <row r="104" customFormat="false" ht="15" hidden="false" customHeight="true" outlineLevel="0" collapsed="false">
      <c r="A104" s="10" t="s">
        <v>143</v>
      </c>
      <c r="B104" s="11" t="n">
        <v>775</v>
      </c>
      <c r="C104" s="11" t="n">
        <v>700</v>
      </c>
      <c r="D104" s="11"/>
      <c r="E104" s="11"/>
      <c r="F104" s="12"/>
    </row>
    <row r="105" customFormat="false" ht="15" hidden="false" customHeight="true" outlineLevel="0" collapsed="false">
      <c r="A105" s="7" t="s">
        <v>144</v>
      </c>
      <c r="B105" s="8" t="n">
        <v>825</v>
      </c>
      <c r="C105" s="8" t="n">
        <v>975</v>
      </c>
      <c r="D105" s="8"/>
      <c r="E105" s="8"/>
      <c r="F105" s="9" t="s">
        <v>145</v>
      </c>
    </row>
    <row r="106" customFormat="false" ht="15" hidden="false" customHeight="true" outlineLevel="0" collapsed="false">
      <c r="A106" s="10" t="s">
        <v>146</v>
      </c>
      <c r="B106" s="11" t="n">
        <v>849</v>
      </c>
      <c r="C106" s="11" t="n">
        <v>999</v>
      </c>
      <c r="D106" s="11"/>
      <c r="E106" s="11"/>
      <c r="F106" s="12" t="s">
        <v>145</v>
      </c>
    </row>
    <row r="108" customFormat="false" ht="18" hidden="false" customHeight="true" outlineLevel="0" collapsed="false">
      <c r="A108" s="4" t="s">
        <v>147</v>
      </c>
      <c r="B108" s="4"/>
      <c r="C108" s="4"/>
      <c r="D108" s="4"/>
      <c r="E108" s="4"/>
      <c r="F108" s="4"/>
    </row>
    <row r="109" customFormat="false" ht="15" hidden="false" customHeight="true" outlineLevel="0" collapsed="false">
      <c r="A109" s="13" t="s">
        <v>148</v>
      </c>
      <c r="B109" s="13"/>
      <c r="C109" s="13"/>
      <c r="D109" s="13"/>
      <c r="E109" s="13"/>
      <c r="F109" s="13"/>
    </row>
    <row r="111" customFormat="false" ht="21.75" hidden="false" customHeight="true" outlineLevel="0" collapsed="false">
      <c r="A111" s="2" t="s">
        <v>149</v>
      </c>
      <c r="B111" s="2"/>
      <c r="C111" s="2"/>
      <c r="D111" s="2"/>
      <c r="E111" s="2"/>
      <c r="F111" s="2"/>
    </row>
    <row r="112" customFormat="false" ht="15" hidden="false" customHeight="true" outlineLevel="0" collapsed="false">
      <c r="A112" s="5" t="s">
        <v>150</v>
      </c>
      <c r="B112" s="6" t="s">
        <v>151</v>
      </c>
      <c r="C112" s="6" t="s">
        <v>152</v>
      </c>
      <c r="D112" s="6" t="s">
        <v>153</v>
      </c>
      <c r="E112" s="6" t="s">
        <v>154</v>
      </c>
      <c r="F112" s="6" t="s">
        <v>7</v>
      </c>
    </row>
    <row r="113" customFormat="false" ht="15" hidden="false" customHeight="true" outlineLevel="0" collapsed="false">
      <c r="A113" s="7" t="s">
        <v>155</v>
      </c>
      <c r="B113" s="14" t="s">
        <v>156</v>
      </c>
      <c r="C113" s="8" t="s">
        <v>157</v>
      </c>
      <c r="D113" s="8" t="s">
        <v>158</v>
      </c>
      <c r="E113" s="8" t="s">
        <v>157</v>
      </c>
      <c r="F113" s="9" t="s">
        <v>159</v>
      </c>
    </row>
    <row r="114" customFormat="false" ht="15" hidden="false" customHeight="true" outlineLevel="0" collapsed="false">
      <c r="A114" s="10" t="s">
        <v>160</v>
      </c>
      <c r="B114" s="15" t="s">
        <v>156</v>
      </c>
      <c r="C114" s="11" t="s">
        <v>157</v>
      </c>
      <c r="D114" s="11" t="s">
        <v>161</v>
      </c>
      <c r="E114" s="11" t="s">
        <v>157</v>
      </c>
      <c r="F114" s="12" t="s">
        <v>162</v>
      </c>
    </row>
    <row r="115" customFormat="false" ht="15" hidden="false" customHeight="true" outlineLevel="0" collapsed="false">
      <c r="A115" s="7" t="s">
        <v>163</v>
      </c>
      <c r="B115" s="14" t="s">
        <v>164</v>
      </c>
      <c r="C115" s="8" t="s">
        <v>165</v>
      </c>
      <c r="D115" s="8" t="s">
        <v>166</v>
      </c>
      <c r="E115" s="8" t="s">
        <v>165</v>
      </c>
      <c r="F115" s="9" t="s">
        <v>167</v>
      </c>
    </row>
    <row r="116" customFormat="false" ht="15" hidden="false" customHeight="true" outlineLevel="0" collapsed="false">
      <c r="A116" s="10" t="s">
        <v>168</v>
      </c>
      <c r="B116" s="15" t="s">
        <v>169</v>
      </c>
      <c r="C116" s="11" t="s">
        <v>170</v>
      </c>
      <c r="D116" s="11" t="s">
        <v>171</v>
      </c>
      <c r="E116" s="11" t="s">
        <v>172</v>
      </c>
      <c r="F116" s="12" t="s">
        <v>173</v>
      </c>
    </row>
    <row r="117" customFormat="false" ht="15" hidden="false" customHeight="true" outlineLevel="0" collapsed="false">
      <c r="A117" s="7" t="s">
        <v>174</v>
      </c>
      <c r="B117" s="14" t="s">
        <v>175</v>
      </c>
      <c r="C117" s="8" t="s">
        <v>176</v>
      </c>
      <c r="D117" s="8" t="s">
        <v>177</v>
      </c>
      <c r="E117" s="8" t="s">
        <v>176</v>
      </c>
      <c r="F117" s="9" t="s">
        <v>178</v>
      </c>
    </row>
    <row r="118" customFormat="false" ht="15" hidden="false" customHeight="true" outlineLevel="0" collapsed="false">
      <c r="A118" s="10" t="s">
        <v>179</v>
      </c>
      <c r="B118" s="15" t="s">
        <v>180</v>
      </c>
      <c r="C118" s="11" t="s">
        <v>166</v>
      </c>
      <c r="D118" s="11" t="s">
        <v>166</v>
      </c>
      <c r="E118" s="11" t="s">
        <v>166</v>
      </c>
      <c r="F118" s="12" t="s">
        <v>181</v>
      </c>
    </row>
    <row r="119" customFormat="false" ht="15" hidden="false" customHeight="true" outlineLevel="0" collapsed="false">
      <c r="A119" s="7" t="s">
        <v>182</v>
      </c>
      <c r="B119" s="16" t="s">
        <v>183</v>
      </c>
      <c r="C119" s="8" t="s">
        <v>184</v>
      </c>
      <c r="D119" s="8" t="s">
        <v>184</v>
      </c>
      <c r="E119" s="8" t="s">
        <v>184</v>
      </c>
      <c r="F119" s="9" t="s">
        <v>185</v>
      </c>
    </row>
    <row r="120" customFormat="false" ht="15" hidden="false" customHeight="true" outlineLevel="0" collapsed="false">
      <c r="A120" s="10" t="s">
        <v>186</v>
      </c>
      <c r="B120" s="17" t="s">
        <v>183</v>
      </c>
      <c r="C120" s="11" t="s">
        <v>184</v>
      </c>
      <c r="D120" s="11" t="s">
        <v>184</v>
      </c>
      <c r="E120" s="11" t="s">
        <v>184</v>
      </c>
      <c r="F120" s="12" t="s">
        <v>187</v>
      </c>
    </row>
    <row r="121" customFormat="false" ht="15" hidden="false" customHeight="true" outlineLevel="0" collapsed="false">
      <c r="A121" s="7" t="s">
        <v>188</v>
      </c>
      <c r="B121" s="18" t="s">
        <v>189</v>
      </c>
      <c r="C121" s="8" t="s">
        <v>166</v>
      </c>
      <c r="D121" s="8" t="s">
        <v>166</v>
      </c>
      <c r="E121" s="8" t="s">
        <v>166</v>
      </c>
      <c r="F121" s="9" t="s">
        <v>190</v>
      </c>
    </row>
  </sheetData>
  <mergeCells count="12">
    <mergeCell ref="A1:F1"/>
    <mergeCell ref="A2:F2"/>
    <mergeCell ref="A4:F4"/>
    <mergeCell ref="A20:F20"/>
    <mergeCell ref="A34:F34"/>
    <mergeCell ref="A61:F61"/>
    <mergeCell ref="A74:F74"/>
    <mergeCell ref="A84:F84"/>
    <mergeCell ref="A99:F99"/>
    <mergeCell ref="A108:F108"/>
    <mergeCell ref="A109:F109"/>
    <mergeCell ref="A111:F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859375" defaultRowHeight="14.25" zeroHeight="false" outlineLevelRow="0" outlineLevelCol="0"/>
  <cols>
    <col collapsed="false" customWidth="true" hidden="false" outlineLevel="0" max="1" min="1" style="1" width="38"/>
    <col collapsed="false" customWidth="true" hidden="false" outlineLevel="0" max="2" min="2" style="1" width="10"/>
    <col collapsed="false" customWidth="true" hidden="false" outlineLevel="0" max="5" min="3" style="1" width="12"/>
    <col collapsed="false" customWidth="true" hidden="false" outlineLevel="0" max="6" min="6" style="1" width="32"/>
  </cols>
  <sheetData>
    <row r="1" customFormat="false" ht="19.5" hidden="false" customHeight="true" outlineLevel="0" collapsed="false">
      <c r="A1" s="19" t="s">
        <v>191</v>
      </c>
      <c r="B1" s="19"/>
      <c r="C1" s="19"/>
      <c r="D1" s="19"/>
      <c r="E1" s="19"/>
      <c r="F1" s="19"/>
    </row>
    <row r="2" customFormat="false" ht="15" hidden="false" customHeight="true" outlineLevel="0" collapsed="false">
      <c r="A2" s="20" t="s">
        <v>192</v>
      </c>
      <c r="B2" s="20"/>
      <c r="C2" s="20"/>
      <c r="D2" s="20"/>
      <c r="E2" s="20"/>
      <c r="F2" s="20"/>
    </row>
    <row r="3" customFormat="false" ht="15" hidden="false" customHeight="true" outlineLevel="0" collapsed="false">
      <c r="A3" s="21" t="s">
        <v>193</v>
      </c>
      <c r="B3" s="22" t="s">
        <v>194</v>
      </c>
      <c r="C3" s="23" t="s">
        <v>195</v>
      </c>
    </row>
    <row r="5" customFormat="false" ht="15.75" hidden="false" customHeight="true" outlineLevel="0" collapsed="false">
      <c r="A5" s="4" t="s">
        <v>196</v>
      </c>
      <c r="B5" s="4"/>
      <c r="C5" s="4"/>
      <c r="D5" s="4"/>
      <c r="E5" s="4"/>
      <c r="F5" s="4"/>
    </row>
    <row r="6" customFormat="false" ht="15" hidden="false" customHeight="true" outlineLevel="0" collapsed="false">
      <c r="A6" s="5" t="s">
        <v>3</v>
      </c>
      <c r="B6" s="6" t="s">
        <v>4</v>
      </c>
      <c r="C6" s="6" t="s">
        <v>5</v>
      </c>
      <c r="D6" s="6" t="s">
        <v>6</v>
      </c>
      <c r="E6" s="6"/>
      <c r="F6" s="6" t="s">
        <v>7</v>
      </c>
    </row>
    <row r="7" customFormat="false" ht="15" hidden="false" customHeight="true" outlineLevel="0" collapsed="false">
      <c r="A7" s="24" t="s">
        <v>23</v>
      </c>
      <c r="B7" s="25" t="n">
        <v>1090</v>
      </c>
      <c r="C7" s="25" t="n">
        <v>925</v>
      </c>
      <c r="D7" s="25" t="n">
        <v>875</v>
      </c>
      <c r="E7" s="25"/>
      <c r="F7" s="25" t="s">
        <v>197</v>
      </c>
    </row>
    <row r="8" customFormat="false" ht="15" hidden="false" customHeight="true" outlineLevel="0" collapsed="false">
      <c r="A8" s="26" t="s">
        <v>17</v>
      </c>
      <c r="B8" s="27" t="n">
        <v>1645</v>
      </c>
      <c r="C8" s="27" t="n">
        <v>1395</v>
      </c>
      <c r="D8" s="27" t="n">
        <v>1315</v>
      </c>
      <c r="E8" s="27"/>
      <c r="F8" s="27" t="s">
        <v>198</v>
      </c>
    </row>
    <row r="9" customFormat="false" ht="15" hidden="false" customHeight="true" outlineLevel="0" collapsed="false">
      <c r="A9" s="28" t="s">
        <v>199</v>
      </c>
      <c r="B9" s="28"/>
      <c r="C9" s="28"/>
      <c r="D9" s="28"/>
      <c r="E9" s="28"/>
      <c r="F9" s="28"/>
    </row>
    <row r="11" customFormat="false" ht="15.75" hidden="false" customHeight="true" outlineLevel="0" collapsed="false">
      <c r="A11" s="4" t="s">
        <v>200</v>
      </c>
      <c r="B11" s="4"/>
      <c r="C11" s="4"/>
      <c r="D11" s="4"/>
      <c r="E11" s="4"/>
      <c r="F11" s="4"/>
    </row>
    <row r="12" customFormat="false" ht="15" hidden="false" customHeight="true" outlineLevel="0" collapsed="false">
      <c r="A12" s="5" t="s">
        <v>3</v>
      </c>
      <c r="B12" s="6" t="s">
        <v>27</v>
      </c>
      <c r="C12" s="6" t="s">
        <v>28</v>
      </c>
      <c r="D12" s="6" t="s">
        <v>29</v>
      </c>
      <c r="E12" s="6"/>
      <c r="F12" s="6" t="s">
        <v>7</v>
      </c>
    </row>
    <row r="13" customFormat="false" ht="15" hidden="false" customHeight="true" outlineLevel="0" collapsed="false">
      <c r="A13" s="24" t="s">
        <v>35</v>
      </c>
      <c r="B13" s="25" t="n">
        <v>1000</v>
      </c>
      <c r="C13" s="25" t="n">
        <v>915</v>
      </c>
      <c r="D13" s="25" t="n">
        <v>830</v>
      </c>
      <c r="E13" s="25"/>
      <c r="F13" s="25" t="s">
        <v>201</v>
      </c>
    </row>
    <row r="14" customFormat="false" ht="15" hidden="false" customHeight="true" outlineLevel="0" collapsed="false">
      <c r="A14" s="26" t="s">
        <v>39</v>
      </c>
      <c r="B14" s="27" t="n">
        <v>1400</v>
      </c>
      <c r="C14" s="27" t="n">
        <v>1225</v>
      </c>
      <c r="D14" s="27" t="n">
        <v>1080</v>
      </c>
      <c r="E14" s="27"/>
      <c r="F14" s="27" t="s">
        <v>202</v>
      </c>
    </row>
    <row r="15" customFormat="false" ht="15" hidden="false" customHeight="true" outlineLevel="0" collapsed="false">
      <c r="A15" s="28" t="s">
        <v>203</v>
      </c>
      <c r="B15" s="28"/>
      <c r="C15" s="28"/>
      <c r="D15" s="28"/>
      <c r="E15" s="28"/>
      <c r="F15" s="28"/>
    </row>
    <row r="17" customFormat="false" ht="15.75" hidden="false" customHeight="true" outlineLevel="0" collapsed="false">
      <c r="A17" s="4" t="s">
        <v>204</v>
      </c>
      <c r="B17" s="4"/>
      <c r="C17" s="4"/>
      <c r="D17" s="4"/>
      <c r="E17" s="4"/>
      <c r="F17" s="4"/>
    </row>
    <row r="18" customFormat="false" ht="15" hidden="false" customHeight="true" outlineLevel="0" collapsed="false">
      <c r="A18" s="5" t="s">
        <v>3</v>
      </c>
      <c r="B18" s="6" t="s">
        <v>4</v>
      </c>
      <c r="C18" s="6" t="s">
        <v>49</v>
      </c>
      <c r="D18" s="6" t="s">
        <v>50</v>
      </c>
      <c r="E18" s="6" t="s">
        <v>51</v>
      </c>
      <c r="F18" s="6" t="s">
        <v>7</v>
      </c>
    </row>
    <row r="19" customFormat="false" ht="15" hidden="false" customHeight="true" outlineLevel="0" collapsed="false">
      <c r="A19" s="24" t="s">
        <v>59</v>
      </c>
      <c r="B19" s="25" t="n">
        <v>1099</v>
      </c>
      <c r="C19" s="25" t="n">
        <v>934.15</v>
      </c>
      <c r="D19" s="25" t="n">
        <v>824.25</v>
      </c>
      <c r="E19" s="25" t="n">
        <v>769.3</v>
      </c>
      <c r="F19" s="25" t="s">
        <v>197</v>
      </c>
    </row>
    <row r="20" customFormat="false" ht="15" hidden="false" customHeight="true" outlineLevel="0" collapsed="false">
      <c r="A20" s="26" t="s">
        <v>76</v>
      </c>
      <c r="B20" s="27" t="n">
        <v>1550</v>
      </c>
      <c r="C20" s="27" t="n">
        <v>1317.5</v>
      </c>
      <c r="D20" s="27" t="n">
        <v>1162.5</v>
      </c>
      <c r="E20" s="27" t="n">
        <v>1085</v>
      </c>
      <c r="F20" s="27" t="s">
        <v>198</v>
      </c>
    </row>
    <row r="21" customFormat="false" ht="15" hidden="false" customHeight="true" outlineLevel="0" collapsed="false">
      <c r="A21" s="28" t="s">
        <v>205</v>
      </c>
      <c r="B21" s="28"/>
      <c r="C21" s="28"/>
      <c r="D21" s="28"/>
      <c r="E21" s="28"/>
      <c r="F21" s="28"/>
    </row>
    <row r="23" customFormat="false" ht="15.75" hidden="false" customHeight="true" outlineLevel="0" collapsed="false">
      <c r="A23" s="4" t="s">
        <v>206</v>
      </c>
      <c r="B23" s="4"/>
      <c r="C23" s="4"/>
      <c r="D23" s="4"/>
      <c r="E23" s="4"/>
      <c r="F23" s="4"/>
    </row>
    <row r="24" customFormat="false" ht="15" hidden="false" customHeight="true" outlineLevel="0" collapsed="false">
      <c r="A24" s="5" t="s">
        <v>3</v>
      </c>
      <c r="B24" s="6" t="s">
        <v>81</v>
      </c>
      <c r="C24" s="6" t="s">
        <v>82</v>
      </c>
      <c r="D24" s="6" t="s">
        <v>83</v>
      </c>
      <c r="E24" s="6" t="s">
        <v>84</v>
      </c>
      <c r="F24" s="6" t="s">
        <v>7</v>
      </c>
    </row>
    <row r="25" customFormat="false" ht="15" hidden="false" customHeight="true" outlineLevel="0" collapsed="false">
      <c r="A25" s="28" t="s">
        <v>207</v>
      </c>
      <c r="B25" s="28"/>
      <c r="C25" s="28"/>
      <c r="D25" s="28"/>
      <c r="E25" s="28"/>
      <c r="F25" s="28"/>
    </row>
    <row r="27" customFormat="false" ht="15.75" hidden="false" customHeight="true" outlineLevel="0" collapsed="false">
      <c r="A27" s="4" t="s">
        <v>208</v>
      </c>
      <c r="B27" s="4"/>
      <c r="C27" s="4"/>
      <c r="D27" s="4"/>
      <c r="E27" s="4"/>
      <c r="F27" s="4"/>
    </row>
    <row r="28" customFormat="false" ht="15" hidden="false" customHeight="true" outlineLevel="0" collapsed="false">
      <c r="A28" s="5" t="s">
        <v>3</v>
      </c>
      <c r="B28" s="6" t="s">
        <v>101</v>
      </c>
      <c r="C28" s="6" t="s">
        <v>102</v>
      </c>
      <c r="D28" s="6" t="s">
        <v>4</v>
      </c>
      <c r="E28" s="6"/>
      <c r="F28" s="6" t="s">
        <v>7</v>
      </c>
    </row>
    <row r="29" customFormat="false" ht="15" hidden="false" customHeight="true" outlineLevel="0" collapsed="false">
      <c r="A29" s="24" t="s">
        <v>110</v>
      </c>
      <c r="B29" s="25" t="n">
        <v>975</v>
      </c>
      <c r="C29" s="25" t="n">
        <v>925</v>
      </c>
      <c r="D29" s="25" t="n">
        <v>1200</v>
      </c>
      <c r="E29" s="25"/>
      <c r="F29" s="25" t="s">
        <v>197</v>
      </c>
    </row>
    <row r="30" customFormat="false" ht="15" hidden="false" customHeight="true" outlineLevel="0" collapsed="false">
      <c r="A30" s="26" t="s">
        <v>103</v>
      </c>
      <c r="B30" s="27" t="n">
        <v>1200</v>
      </c>
      <c r="C30" s="27" t="n">
        <v>1150</v>
      </c>
      <c r="D30" s="27" t="n">
        <v>1450</v>
      </c>
      <c r="E30" s="27"/>
      <c r="F30" s="27" t="s">
        <v>198</v>
      </c>
    </row>
    <row r="31" customFormat="false" ht="15" hidden="false" customHeight="true" outlineLevel="0" collapsed="false">
      <c r="A31" s="26" t="s">
        <v>107</v>
      </c>
      <c r="B31" s="27" t="n">
        <v>1500</v>
      </c>
      <c r="C31" s="27" t="n">
        <v>1450</v>
      </c>
      <c r="D31" s="27" t="n">
        <v>1750</v>
      </c>
      <c r="E31" s="27"/>
      <c r="F31" s="27" t="s">
        <v>209</v>
      </c>
    </row>
    <row r="32" customFormat="false" ht="15" hidden="false" customHeight="true" outlineLevel="0" collapsed="false">
      <c r="A32" s="29" t="s">
        <v>210</v>
      </c>
      <c r="B32" s="29"/>
      <c r="C32" s="29"/>
      <c r="D32" s="29"/>
      <c r="E32" s="29"/>
      <c r="F32" s="29"/>
    </row>
    <row r="34" customFormat="false" ht="15.75" hidden="false" customHeight="true" outlineLevel="0" collapsed="false">
      <c r="A34" s="4" t="s">
        <v>211</v>
      </c>
      <c r="B34" s="4"/>
      <c r="C34" s="4"/>
      <c r="D34" s="4"/>
      <c r="E34" s="4"/>
      <c r="F34" s="4"/>
    </row>
    <row r="35" customFormat="false" ht="15" hidden="false" customHeight="true" outlineLevel="0" collapsed="false">
      <c r="A35" s="5" t="s">
        <v>3</v>
      </c>
      <c r="B35" s="6" t="s">
        <v>81</v>
      </c>
      <c r="C35" s="6" t="s">
        <v>115</v>
      </c>
      <c r="D35" s="6"/>
      <c r="E35" s="6"/>
      <c r="F35" s="6" t="s">
        <v>7</v>
      </c>
    </row>
    <row r="36" customFormat="false" ht="15" hidden="false" customHeight="true" outlineLevel="0" collapsed="false">
      <c r="A36" s="24" t="s">
        <v>118</v>
      </c>
      <c r="B36" s="25" t="n">
        <v>905</v>
      </c>
      <c r="C36" s="25" t="n">
        <v>724</v>
      </c>
      <c r="D36" s="25"/>
      <c r="E36" s="25"/>
      <c r="F36" s="25" t="s">
        <v>197</v>
      </c>
    </row>
    <row r="37" customFormat="false" ht="15" hidden="false" customHeight="true" outlineLevel="0" collapsed="false">
      <c r="A37" s="26" t="s">
        <v>130</v>
      </c>
      <c r="B37" s="27" t="n">
        <v>1320</v>
      </c>
      <c r="C37" s="27" t="n">
        <v>1056</v>
      </c>
      <c r="D37" s="27"/>
      <c r="E37" s="27"/>
      <c r="F37" s="27" t="s">
        <v>198</v>
      </c>
    </row>
    <row r="38" customFormat="false" ht="15" hidden="false" customHeight="true" outlineLevel="0" collapsed="false">
      <c r="A38" s="28" t="s">
        <v>212</v>
      </c>
      <c r="B38" s="28"/>
      <c r="C38" s="28"/>
      <c r="D38" s="28"/>
      <c r="E38" s="28"/>
      <c r="F38" s="28"/>
    </row>
    <row r="40" customFormat="false" ht="15.75" hidden="false" customHeight="true" outlineLevel="0" collapsed="false">
      <c r="A40" s="4" t="s">
        <v>213</v>
      </c>
      <c r="B40" s="4"/>
      <c r="C40" s="4"/>
      <c r="D40" s="4"/>
      <c r="E40" s="4"/>
      <c r="F40" s="4"/>
    </row>
    <row r="41" customFormat="false" ht="15" hidden="false" customHeight="true" outlineLevel="0" collapsed="false">
      <c r="A41" s="5" t="s">
        <v>3</v>
      </c>
      <c r="B41" s="6" t="s">
        <v>4</v>
      </c>
      <c r="C41" s="6" t="s">
        <v>138</v>
      </c>
      <c r="D41" s="6"/>
      <c r="E41" s="6"/>
      <c r="F41" s="6" t="s">
        <v>7</v>
      </c>
    </row>
    <row r="42" customFormat="false" ht="15" hidden="false" customHeight="true" outlineLevel="0" collapsed="false">
      <c r="A42" s="24" t="s">
        <v>141</v>
      </c>
      <c r="B42" s="25" t="n">
        <v>799</v>
      </c>
      <c r="C42" s="25" t="n">
        <v>724</v>
      </c>
      <c r="D42" s="25"/>
      <c r="E42" s="25"/>
      <c r="F42" s="25" t="s">
        <v>197</v>
      </c>
    </row>
    <row r="43" customFormat="false" ht="15" hidden="false" customHeight="true" outlineLevel="0" collapsed="false">
      <c r="A43" s="26" t="s">
        <v>146</v>
      </c>
      <c r="B43" s="27" t="n">
        <v>849</v>
      </c>
      <c r="C43" s="27" t="n">
        <v>999</v>
      </c>
      <c r="D43" s="27"/>
      <c r="E43" s="27"/>
      <c r="F43" s="27" t="s">
        <v>214</v>
      </c>
    </row>
    <row r="44" customFormat="false" ht="15" hidden="false" customHeight="true" outlineLevel="0" collapsed="false">
      <c r="A44" s="30" t="s">
        <v>215</v>
      </c>
      <c r="B44" s="30"/>
      <c r="C44" s="30"/>
      <c r="D44" s="30"/>
      <c r="E44" s="30"/>
      <c r="F44" s="30"/>
    </row>
    <row r="47" customFormat="false" ht="19.5" hidden="false" customHeight="true" outlineLevel="0" collapsed="false">
      <c r="A47" s="19" t="s">
        <v>216</v>
      </c>
      <c r="B47" s="19"/>
      <c r="C47" s="19"/>
      <c r="D47" s="19"/>
      <c r="E47" s="19"/>
      <c r="F47" s="19"/>
    </row>
    <row r="48" customFormat="false" ht="15" hidden="false" customHeight="true" outlineLevel="0" collapsed="false">
      <c r="A48" s="5" t="s">
        <v>150</v>
      </c>
      <c r="B48" s="6" t="s">
        <v>217</v>
      </c>
      <c r="C48" s="6" t="s">
        <v>218</v>
      </c>
      <c r="D48" s="6" t="s">
        <v>219</v>
      </c>
      <c r="E48" s="6" t="s">
        <v>218</v>
      </c>
      <c r="F48" s="6" t="s">
        <v>151</v>
      </c>
    </row>
    <row r="49" customFormat="false" ht="15" hidden="false" customHeight="true" outlineLevel="0" collapsed="false">
      <c r="A49" s="31" t="s">
        <v>220</v>
      </c>
      <c r="B49" s="21" t="s">
        <v>23</v>
      </c>
      <c r="C49" s="25" t="s">
        <v>221</v>
      </c>
      <c r="D49" s="22" t="s">
        <v>17</v>
      </c>
      <c r="E49" s="27" t="s">
        <v>222</v>
      </c>
      <c r="F49" s="32" t="s">
        <v>223</v>
      </c>
    </row>
    <row r="50" customFormat="false" ht="15" hidden="false" customHeight="true" outlineLevel="0" collapsed="false">
      <c r="A50" s="10" t="s">
        <v>224</v>
      </c>
      <c r="B50" s="21" t="s">
        <v>225</v>
      </c>
      <c r="C50" s="25" t="s">
        <v>226</v>
      </c>
      <c r="D50" s="22" t="s">
        <v>227</v>
      </c>
      <c r="E50" s="27" t="s">
        <v>228</v>
      </c>
      <c r="F50" s="33" t="s">
        <v>229</v>
      </c>
    </row>
    <row r="51" customFormat="false" ht="15" hidden="false" customHeight="true" outlineLevel="0" collapsed="false">
      <c r="A51" s="31" t="s">
        <v>160</v>
      </c>
      <c r="B51" s="21" t="s">
        <v>230</v>
      </c>
      <c r="C51" s="25" t="s">
        <v>231</v>
      </c>
      <c r="D51" s="22" t="s">
        <v>76</v>
      </c>
      <c r="E51" s="27" t="s">
        <v>232</v>
      </c>
      <c r="F51" s="32" t="s">
        <v>233</v>
      </c>
    </row>
    <row r="52" customFormat="false" ht="15" hidden="false" customHeight="true" outlineLevel="0" collapsed="false">
      <c r="A52" s="10" t="s">
        <v>174</v>
      </c>
      <c r="B52" s="21" t="s">
        <v>234</v>
      </c>
      <c r="C52" s="25" t="s">
        <v>235</v>
      </c>
      <c r="D52" s="22" t="s">
        <v>234</v>
      </c>
      <c r="E52" s="27" t="s">
        <v>235</v>
      </c>
      <c r="F52" s="33" t="s">
        <v>236</v>
      </c>
    </row>
    <row r="53" customFormat="false" ht="15" hidden="false" customHeight="true" outlineLevel="0" collapsed="false">
      <c r="A53" s="31" t="s">
        <v>237</v>
      </c>
      <c r="B53" s="21" t="s">
        <v>110</v>
      </c>
      <c r="C53" s="25" t="s">
        <v>221</v>
      </c>
      <c r="D53" s="22" t="s">
        <v>107</v>
      </c>
      <c r="E53" s="27" t="s">
        <v>238</v>
      </c>
      <c r="F53" s="34" t="s">
        <v>239</v>
      </c>
    </row>
    <row r="54" customFormat="false" ht="15" hidden="false" customHeight="true" outlineLevel="0" collapsed="false">
      <c r="A54" s="10" t="s">
        <v>240</v>
      </c>
      <c r="B54" s="21" t="s">
        <v>241</v>
      </c>
      <c r="C54" s="25" t="s">
        <v>242</v>
      </c>
      <c r="D54" s="22" t="s">
        <v>243</v>
      </c>
      <c r="E54" s="27" t="s">
        <v>244</v>
      </c>
      <c r="F54" s="33" t="s">
        <v>245</v>
      </c>
    </row>
    <row r="55" customFormat="false" ht="15" hidden="false" customHeight="true" outlineLevel="0" collapsed="false">
      <c r="A55" s="31" t="s">
        <v>186</v>
      </c>
      <c r="B55" s="21" t="s">
        <v>141</v>
      </c>
      <c r="C55" s="25" t="s">
        <v>242</v>
      </c>
      <c r="D55" s="22" t="s">
        <v>146</v>
      </c>
      <c r="E55" s="27" t="s">
        <v>246</v>
      </c>
      <c r="F55" s="34" t="s">
        <v>239</v>
      </c>
    </row>
  </sheetData>
  <mergeCells count="17">
    <mergeCell ref="A1:F1"/>
    <mergeCell ref="A2:F2"/>
    <mergeCell ref="A5:F5"/>
    <mergeCell ref="A9:F9"/>
    <mergeCell ref="A11:F11"/>
    <mergeCell ref="A15:F15"/>
    <mergeCell ref="A17:F17"/>
    <mergeCell ref="A21:F21"/>
    <mergeCell ref="A23:F23"/>
    <mergeCell ref="A25:F25"/>
    <mergeCell ref="A27:F27"/>
    <mergeCell ref="A32:F32"/>
    <mergeCell ref="A34:F34"/>
    <mergeCell ref="A38:F38"/>
    <mergeCell ref="A40:F40"/>
    <mergeCell ref="A44:F44"/>
    <mergeCell ref="A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4" min="3" style="1" width="12"/>
    <col collapsed="false" customWidth="true" hidden="false" outlineLevel="0" max="5" min="5" style="1" width="21"/>
    <col collapsed="false" customWidth="true" hidden="false" outlineLevel="0" max="6" min="6" style="1" width="11"/>
    <col collapsed="false" customWidth="true" hidden="false" outlineLevel="0" max="7" min="7" style="1" width="14"/>
    <col collapsed="false" customWidth="true" hidden="false" outlineLevel="0" max="9" min="8" style="1" width="12"/>
    <col collapsed="false" customWidth="true" hidden="false" outlineLevel="0" max="10" min="10" style="1" width="14"/>
    <col collapsed="false" customWidth="true" hidden="false" outlineLevel="0" max="21" min="11" style="1" width="12"/>
    <col collapsed="false" customWidth="true" hidden="false" outlineLevel="0" max="24" min="22" style="1" width="14"/>
    <col collapsed="false" customWidth="true" hidden="false" outlineLevel="0" max="25" min="25" style="1" width="10"/>
    <col collapsed="false" customWidth="true" hidden="false" outlineLevel="0" max="26" min="26" style="1" width="13"/>
    <col collapsed="false" customWidth="true" hidden="false" outlineLevel="0" max="27" min="27" style="1" width="20"/>
    <col collapsed="false" customWidth="true" hidden="false" outlineLevel="0" max="28" min="28" style="1" width="45"/>
  </cols>
  <sheetData>
    <row r="1" customFormat="false" ht="21.75" hidden="false" customHeight="true" outlineLevel="0" collapsed="false">
      <c r="A1" s="35" t="s">
        <v>247</v>
      </c>
      <c r="B1" s="35"/>
      <c r="C1" s="35"/>
      <c r="D1" s="35"/>
      <c r="E1" s="35"/>
      <c r="F1" s="35"/>
      <c r="G1" s="35"/>
      <c r="H1" s="35"/>
      <c r="I1" s="35"/>
      <c r="J1" s="35"/>
      <c r="K1" s="35"/>
      <c r="L1" s="35"/>
      <c r="M1" s="35"/>
      <c r="N1" s="35"/>
      <c r="O1" s="35"/>
      <c r="P1" s="35"/>
      <c r="Q1" s="35"/>
      <c r="R1" s="35"/>
      <c r="S1" s="35"/>
      <c r="T1" s="35"/>
      <c r="U1" s="35"/>
      <c r="V1" s="35"/>
      <c r="W1" s="35"/>
      <c r="X1" s="35"/>
      <c r="Y1" s="35"/>
      <c r="Z1" s="35"/>
      <c r="AA1" s="35"/>
      <c r="AB1" s="35"/>
    </row>
    <row r="2" customFormat="false" ht="12.75" hidden="false" customHeight="true" outlineLevel="0" collapsed="false">
      <c r="A2" s="36" t="s">
        <v>248</v>
      </c>
      <c r="B2" s="36"/>
      <c r="C2" s="36"/>
      <c r="D2" s="36"/>
      <c r="E2" s="36"/>
      <c r="F2" s="36"/>
      <c r="G2" s="36"/>
      <c r="H2" s="36"/>
      <c r="I2" s="36"/>
      <c r="J2" s="36"/>
      <c r="K2" s="36"/>
      <c r="L2" s="36"/>
      <c r="M2" s="36"/>
      <c r="N2" s="36"/>
      <c r="O2" s="36"/>
      <c r="P2" s="36"/>
      <c r="Q2" s="36"/>
      <c r="R2" s="36"/>
      <c r="S2" s="36"/>
      <c r="T2" s="36"/>
      <c r="U2" s="36"/>
      <c r="V2" s="36"/>
      <c r="W2" s="36"/>
      <c r="X2" s="36"/>
      <c r="Y2" s="36"/>
      <c r="Z2" s="36"/>
      <c r="AA2" s="36"/>
      <c r="AB2" s="36"/>
    </row>
    <row r="3" customFormat="false" ht="12.75" hidden="false" customHeight="true" outlineLevel="0" collapsed="false">
      <c r="A3" s="37" t="s">
        <v>249</v>
      </c>
      <c r="B3" s="38" t="s">
        <v>250</v>
      </c>
      <c r="C3" s="39" t="s">
        <v>251</v>
      </c>
    </row>
    <row r="4" customFormat="false" ht="12.75" hidden="false" customHeight="true" outlineLevel="0" collapsed="false">
      <c r="A4" s="40" t="s">
        <v>252</v>
      </c>
      <c r="B4" s="40"/>
      <c r="C4" s="40" t="s">
        <v>253</v>
      </c>
      <c r="D4" s="40"/>
      <c r="E4" s="40" t="s">
        <v>254</v>
      </c>
      <c r="F4" s="40"/>
      <c r="G4" s="40"/>
      <c r="H4" s="41" t="s">
        <v>255</v>
      </c>
      <c r="I4" s="41"/>
      <c r="J4" s="41"/>
      <c r="K4" s="41"/>
      <c r="L4" s="41"/>
      <c r="M4" s="41"/>
      <c r="N4" s="41"/>
      <c r="O4" s="41"/>
      <c r="P4" s="41"/>
      <c r="Q4" s="41"/>
      <c r="R4" s="41"/>
      <c r="S4" s="41"/>
      <c r="T4" s="41"/>
      <c r="U4" s="41"/>
      <c r="V4" s="42" t="s">
        <v>256</v>
      </c>
      <c r="W4" s="42"/>
      <c r="X4" s="42"/>
      <c r="Y4" s="42"/>
      <c r="Z4" s="40" t="s">
        <v>257</v>
      </c>
      <c r="AA4" s="40"/>
      <c r="AB4" s="40"/>
    </row>
    <row r="5" customFormat="false" ht="39.75" hidden="false" customHeight="true" outlineLevel="0" collapsed="false">
      <c r="A5" s="43" t="s">
        <v>258</v>
      </c>
      <c r="B5" s="43" t="s">
        <v>259</v>
      </c>
      <c r="C5" s="43" t="s">
        <v>260</v>
      </c>
      <c r="D5" s="43" t="s">
        <v>261</v>
      </c>
      <c r="E5" s="43" t="s">
        <v>262</v>
      </c>
      <c r="F5" s="43" t="s">
        <v>263</v>
      </c>
      <c r="G5" s="43" t="s">
        <v>264</v>
      </c>
      <c r="H5" s="43" t="s">
        <v>3</v>
      </c>
      <c r="I5" s="43" t="s">
        <v>265</v>
      </c>
      <c r="J5" s="43" t="s">
        <v>266</v>
      </c>
      <c r="K5" s="43" t="s">
        <v>267</v>
      </c>
      <c r="L5" s="43" t="s">
        <v>268</v>
      </c>
      <c r="M5" s="43" t="s">
        <v>269</v>
      </c>
      <c r="N5" s="43" t="s">
        <v>270</v>
      </c>
      <c r="O5" s="43" t="s">
        <v>271</v>
      </c>
      <c r="P5" s="43" t="s">
        <v>272</v>
      </c>
      <c r="Q5" s="43" t="s">
        <v>273</v>
      </c>
      <c r="R5" s="43" t="s">
        <v>274</v>
      </c>
      <c r="S5" s="43" t="s">
        <v>275</v>
      </c>
      <c r="T5" s="43" t="s">
        <v>276</v>
      </c>
      <c r="U5" s="43" t="s">
        <v>277</v>
      </c>
      <c r="V5" s="43" t="s">
        <v>278</v>
      </c>
      <c r="W5" s="43" t="s">
        <v>279</v>
      </c>
      <c r="X5" s="43" t="s">
        <v>280</v>
      </c>
      <c r="Y5" s="43" t="s">
        <v>281</v>
      </c>
      <c r="Z5" s="43" t="s">
        <v>282</v>
      </c>
      <c r="AA5" s="43" t="s">
        <v>283</v>
      </c>
      <c r="AB5" s="43" t="s">
        <v>7</v>
      </c>
    </row>
    <row r="6" customFormat="false" ht="19.5" hidden="false" customHeight="true" outlineLevel="0" collapsed="false">
      <c r="A6" s="44" t="n">
        <v>1</v>
      </c>
      <c r="B6" s="45" t="s">
        <v>284</v>
      </c>
      <c r="C6" s="46" t="s">
        <v>285</v>
      </c>
      <c r="D6" s="46" t="s">
        <v>286</v>
      </c>
      <c r="E6" s="47" t="s">
        <v>287</v>
      </c>
      <c r="F6" s="48" t="s">
        <v>288</v>
      </c>
      <c r="G6" s="47" t="s">
        <v>220</v>
      </c>
      <c r="H6" s="48" t="n">
        <v>1525.5</v>
      </c>
      <c r="I6" s="48" t="n">
        <v>858.02</v>
      </c>
      <c r="J6" s="48" t="n">
        <v>1552.94</v>
      </c>
      <c r="K6" s="48" t="n">
        <v>204.74</v>
      </c>
      <c r="L6" s="48" t="n">
        <v>194</v>
      </c>
      <c r="M6" s="48" t="n">
        <v>1995.38</v>
      </c>
      <c r="N6" s="48" t="n">
        <v>156.17</v>
      </c>
      <c r="O6" s="48" t="n">
        <v>307.9</v>
      </c>
      <c r="P6" s="49" t="s">
        <v>184</v>
      </c>
      <c r="Q6" s="48" t="n">
        <v>49.95</v>
      </c>
      <c r="R6" s="48" t="n">
        <v>42.65</v>
      </c>
      <c r="S6" s="48" t="n">
        <v>300.36</v>
      </c>
      <c r="T6" s="49" t="s">
        <v>184</v>
      </c>
      <c r="U6" s="49" t="s">
        <v>184</v>
      </c>
      <c r="V6" s="50" t="n">
        <f aca="false">SUM(H6:U6)</f>
        <v>7187.61</v>
      </c>
      <c r="W6" s="48" t="n">
        <v>7500</v>
      </c>
      <c r="X6" s="51" t="n">
        <f aca="false">IF(W6="","-",W6-V6)</f>
        <v>312.39</v>
      </c>
      <c r="Y6" s="52" t="n">
        <f aca="false">IF(OR(W6="",W6=0),"-",(W6-V6)/W6)</f>
        <v>0.041652</v>
      </c>
      <c r="Z6" s="48"/>
      <c r="AA6" s="53" t="s">
        <v>289</v>
      </c>
      <c r="AB6" s="54" t="s">
        <v>290</v>
      </c>
    </row>
    <row r="7" customFormat="false" ht="19.5" hidden="false" customHeight="true" outlineLevel="0" collapsed="false">
      <c r="A7" s="44" t="n">
        <v>2</v>
      </c>
      <c r="B7" s="45" t="s">
        <v>291</v>
      </c>
      <c r="C7" s="46" t="s">
        <v>292</v>
      </c>
      <c r="D7" s="46"/>
      <c r="E7" s="47" t="s">
        <v>293</v>
      </c>
      <c r="F7" s="48" t="s">
        <v>288</v>
      </c>
      <c r="G7" s="47" t="s">
        <v>220</v>
      </c>
      <c r="H7" s="48" t="n">
        <v>1525.5</v>
      </c>
      <c r="I7" s="48" t="n">
        <v>858.02</v>
      </c>
      <c r="J7" s="48" t="n">
        <v>1106.5</v>
      </c>
      <c r="K7" s="48" t="n">
        <v>204.74</v>
      </c>
      <c r="L7" s="48" t="n">
        <v>194</v>
      </c>
      <c r="M7" s="48" t="n">
        <v>1995.38</v>
      </c>
      <c r="N7" s="48" t="n">
        <v>156.17</v>
      </c>
      <c r="O7" s="48" t="n">
        <v>307.9</v>
      </c>
      <c r="P7" s="48" t="n">
        <v>185.71</v>
      </c>
      <c r="Q7" s="48" t="n">
        <v>109.74</v>
      </c>
      <c r="R7" s="49" t="s">
        <v>184</v>
      </c>
      <c r="S7" s="48" t="n">
        <v>372.52</v>
      </c>
      <c r="T7" s="48" t="n">
        <v>645.95</v>
      </c>
      <c r="U7" s="49" t="s">
        <v>184</v>
      </c>
      <c r="V7" s="50" t="n">
        <f aca="false">SUM(H7:U7)</f>
        <v>7662.13</v>
      </c>
      <c r="W7" s="48" t="n">
        <v>10700</v>
      </c>
      <c r="X7" s="51" t="n">
        <f aca="false">IF(W7="","-",W7-V7)</f>
        <v>3037.87</v>
      </c>
      <c r="Y7" s="52" t="n">
        <f aca="false">IF(OR(W7="",W7=0),"-",(W7-V7)/W7)</f>
        <v>0.28391308411215</v>
      </c>
      <c r="Z7" s="48"/>
      <c r="AA7" s="53" t="s">
        <v>289</v>
      </c>
      <c r="AB7" s="54" t="s">
        <v>294</v>
      </c>
    </row>
    <row r="8" customFormat="false" ht="19.5" hidden="false" customHeight="true" outlineLevel="0" collapsed="false">
      <c r="A8" s="44" t="n">
        <v>3</v>
      </c>
      <c r="B8" s="45" t="s">
        <v>295</v>
      </c>
      <c r="C8" s="46" t="s">
        <v>292</v>
      </c>
      <c r="D8" s="46"/>
      <c r="E8" s="47" t="s">
        <v>296</v>
      </c>
      <c r="F8" s="48" t="s">
        <v>288</v>
      </c>
      <c r="G8" s="47" t="s">
        <v>220</v>
      </c>
      <c r="H8" s="48" t="n">
        <v>1525.5</v>
      </c>
      <c r="I8" s="48" t="n">
        <v>625</v>
      </c>
      <c r="J8" s="48" t="n">
        <v>1561.23</v>
      </c>
      <c r="K8" s="48" t="n">
        <v>204.74</v>
      </c>
      <c r="L8" s="48" t="n">
        <v>126</v>
      </c>
      <c r="M8" s="48" t="n">
        <v>1820.38</v>
      </c>
      <c r="N8" s="48" t="n">
        <v>156.17</v>
      </c>
      <c r="O8" s="48" t="n">
        <v>307.9</v>
      </c>
      <c r="P8" s="48" t="n">
        <v>185.71</v>
      </c>
      <c r="Q8" s="48" t="n">
        <v>109.74</v>
      </c>
      <c r="R8" s="49" t="s">
        <v>184</v>
      </c>
      <c r="S8" s="48" t="n">
        <v>372.52</v>
      </c>
      <c r="T8" s="48" t="n">
        <v>645.95</v>
      </c>
      <c r="U8" s="49" t="s">
        <v>184</v>
      </c>
      <c r="V8" s="50" t="n">
        <f aca="false">SUM(H8:U8)</f>
        <v>7640.84</v>
      </c>
      <c r="W8" s="48" t="n">
        <v>9900</v>
      </c>
      <c r="X8" s="51" t="n">
        <f aca="false">IF(W8="","-",W8-V8)</f>
        <v>2259.16</v>
      </c>
      <c r="Y8" s="52" t="n">
        <f aca="false">IF(OR(W8="",W8=0),"-",(W8-V8)/W8)</f>
        <v>0.22819797979798</v>
      </c>
      <c r="Z8" s="48"/>
      <c r="AA8" s="53" t="s">
        <v>289</v>
      </c>
      <c r="AB8" s="54" t="s">
        <v>297</v>
      </c>
    </row>
    <row r="9" customFormat="false" ht="19.5" hidden="false" customHeight="true" outlineLevel="0" collapsed="false">
      <c r="A9" s="44" t="n">
        <v>4</v>
      </c>
      <c r="B9" s="45" t="s">
        <v>298</v>
      </c>
      <c r="C9" s="46" t="s">
        <v>285</v>
      </c>
      <c r="D9" s="46"/>
      <c r="E9" s="47" t="s">
        <v>287</v>
      </c>
      <c r="F9" s="48" t="s">
        <v>288</v>
      </c>
      <c r="G9" s="47" t="s">
        <v>220</v>
      </c>
      <c r="H9" s="48" t="n">
        <v>1525.5</v>
      </c>
      <c r="I9" s="48" t="n">
        <v>625</v>
      </c>
      <c r="J9" s="48" t="n">
        <v>1610.12</v>
      </c>
      <c r="K9" s="48" t="n">
        <v>204.74</v>
      </c>
      <c r="L9" s="48" t="n">
        <v>126</v>
      </c>
      <c r="M9" s="49" t="s">
        <v>184</v>
      </c>
      <c r="N9" s="49" t="s">
        <v>184</v>
      </c>
      <c r="O9" s="48" t="n">
        <v>307.9</v>
      </c>
      <c r="P9" s="49" t="s">
        <v>184</v>
      </c>
      <c r="Q9" s="48" t="n">
        <v>52.91</v>
      </c>
      <c r="R9" s="48" t="n">
        <v>42.65</v>
      </c>
      <c r="S9" s="48" t="n">
        <v>300.36</v>
      </c>
      <c r="T9" s="48" t="n">
        <v>645.95</v>
      </c>
      <c r="U9" s="49" t="s">
        <v>184</v>
      </c>
      <c r="V9" s="50" t="n">
        <f aca="false">SUM(H9:U9)</f>
        <v>5441.13</v>
      </c>
      <c r="W9" s="48" t="n">
        <v>6400</v>
      </c>
      <c r="X9" s="51" t="n">
        <f aca="false">IF(W9="","-",W9-V9)</f>
        <v>958.87</v>
      </c>
      <c r="Y9" s="52" t="n">
        <f aca="false">IF(OR(W9="",W9=0),"-",(W9-V9)/W9)</f>
        <v>0.1498234375</v>
      </c>
      <c r="Z9" s="48"/>
      <c r="AA9" s="53" t="s">
        <v>289</v>
      </c>
      <c r="AB9" s="54" t="s">
        <v>299</v>
      </c>
    </row>
    <row r="10" customFormat="false" ht="19.5" hidden="false" customHeight="true" outlineLevel="0" collapsed="false">
      <c r="A10" s="55" t="n">
        <v>5</v>
      </c>
      <c r="B10" s="56" t="s">
        <v>300</v>
      </c>
      <c r="C10" s="57" t="s">
        <v>301</v>
      </c>
      <c r="D10" s="57"/>
      <c r="E10" s="58" t="s">
        <v>296</v>
      </c>
      <c r="F10" s="59" t="s">
        <v>288</v>
      </c>
      <c r="G10" s="58" t="s">
        <v>160</v>
      </c>
      <c r="H10" s="59" t="n">
        <v>734</v>
      </c>
      <c r="I10" s="59" t="n">
        <v>625</v>
      </c>
      <c r="J10" s="59" t="n">
        <v>1894.07</v>
      </c>
      <c r="K10" s="59" t="n">
        <v>199.74</v>
      </c>
      <c r="L10" s="59" t="n">
        <v>126</v>
      </c>
      <c r="M10" s="49" t="s">
        <v>184</v>
      </c>
      <c r="N10" s="59" t="n">
        <v>156.17</v>
      </c>
      <c r="O10" s="59" t="n">
        <v>288.93</v>
      </c>
      <c r="P10" s="59" t="n">
        <v>169.4</v>
      </c>
      <c r="Q10" s="59" t="n">
        <v>91</v>
      </c>
      <c r="R10" s="49" t="s">
        <v>184</v>
      </c>
      <c r="S10" s="59" t="n">
        <v>372.52</v>
      </c>
      <c r="T10" s="59" t="n">
        <v>645.95</v>
      </c>
      <c r="U10" s="49" t="s">
        <v>184</v>
      </c>
      <c r="V10" s="60" t="n">
        <f aca="false">SUM(H10:U10)</f>
        <v>5302.78</v>
      </c>
      <c r="W10" s="59" t="n">
        <v>7715.95</v>
      </c>
      <c r="X10" s="60" t="n">
        <f aca="false">IF(W10="","-",W10-V10)</f>
        <v>2413.17</v>
      </c>
      <c r="Y10" s="61" t="n">
        <f aca="false">IF(OR(W10="",W10=0),"-",(W10-V10)/W10)</f>
        <v>0.31275086023108</v>
      </c>
      <c r="Z10" s="59"/>
      <c r="AA10" s="58" t="s">
        <v>289</v>
      </c>
      <c r="AB10" s="54" t="s">
        <v>302</v>
      </c>
    </row>
    <row r="11" customFormat="false" ht="19.5" hidden="false" customHeight="true" outlineLevel="0" collapsed="false">
      <c r="A11" s="55" t="n">
        <v>6</v>
      </c>
      <c r="B11" s="56" t="s">
        <v>303</v>
      </c>
      <c r="C11" s="57" t="s">
        <v>301</v>
      </c>
      <c r="D11" s="57"/>
      <c r="E11" s="58" t="s">
        <v>296</v>
      </c>
      <c r="F11" s="59" t="s">
        <v>288</v>
      </c>
      <c r="G11" s="58" t="s">
        <v>160</v>
      </c>
      <c r="H11" s="59" t="n">
        <v>734</v>
      </c>
      <c r="I11" s="59" t="n">
        <v>625</v>
      </c>
      <c r="J11" s="59" t="n">
        <v>1894.07</v>
      </c>
      <c r="K11" s="59" t="n">
        <v>199.74</v>
      </c>
      <c r="L11" s="59" t="n">
        <v>126</v>
      </c>
      <c r="M11" s="49" t="s">
        <v>184</v>
      </c>
      <c r="N11" s="49" t="s">
        <v>184</v>
      </c>
      <c r="O11" s="59" t="n">
        <v>288.93</v>
      </c>
      <c r="P11" s="59" t="n">
        <v>169.4</v>
      </c>
      <c r="Q11" s="59" t="n">
        <v>91</v>
      </c>
      <c r="R11" s="49" t="s">
        <v>184</v>
      </c>
      <c r="S11" s="59" t="n">
        <v>372.52</v>
      </c>
      <c r="T11" s="49" t="s">
        <v>184</v>
      </c>
      <c r="U11" s="49" t="s">
        <v>184</v>
      </c>
      <c r="V11" s="60" t="n">
        <f aca="false">SUM(H11:U11)</f>
        <v>4500.66</v>
      </c>
      <c r="W11" s="59" t="n">
        <v>5603</v>
      </c>
      <c r="X11" s="60" t="n">
        <f aca="false">IF(W11="","-",W11-V11)</f>
        <v>1102.34</v>
      </c>
      <c r="Y11" s="61" t="n">
        <f aca="false">IF(OR(W11="",W11=0),"-",(W11-V11)/W11)</f>
        <v>0.19674103159022</v>
      </c>
      <c r="Z11" s="59"/>
      <c r="AA11" s="58" t="s">
        <v>289</v>
      </c>
      <c r="AB11" s="54" t="s">
        <v>304</v>
      </c>
    </row>
    <row r="12" customFormat="false" ht="18" hidden="false" customHeight="true" outlineLevel="0" collapsed="false">
      <c r="A12" s="44" t="n">
        <v>7</v>
      </c>
      <c r="H12" s="62"/>
      <c r="I12" s="62"/>
      <c r="J12" s="62"/>
      <c r="K12" s="62"/>
      <c r="L12" s="62"/>
      <c r="M12" s="62"/>
      <c r="N12" s="62"/>
      <c r="O12" s="62"/>
      <c r="P12" s="62"/>
      <c r="Q12" s="62"/>
      <c r="R12" s="62"/>
      <c r="S12" s="62"/>
      <c r="T12" s="62"/>
      <c r="U12" s="62"/>
      <c r="V12" s="50" t="n">
        <f aca="false">SUM(H12:U12)</f>
        <v>0</v>
      </c>
      <c r="W12" s="48"/>
      <c r="X12" s="51" t="str">
        <f aca="false">IF(W12="","-",W12-V12)</f>
        <v>-</v>
      </c>
      <c r="Y12" s="52" t="str">
        <f aca="false">IF(OR(W12="",W12=0),"-",(W12-V12)/W12)</f>
        <v>-</v>
      </c>
      <c r="AB12" s="54"/>
    </row>
    <row r="13" customFormat="false" ht="18" hidden="false" customHeight="true" outlineLevel="0" collapsed="false">
      <c r="A13" s="44" t="n">
        <v>8</v>
      </c>
      <c r="H13" s="62"/>
      <c r="I13" s="62"/>
      <c r="J13" s="62"/>
      <c r="K13" s="62"/>
      <c r="L13" s="62"/>
      <c r="M13" s="62"/>
      <c r="N13" s="62"/>
      <c r="O13" s="62"/>
      <c r="P13" s="62"/>
      <c r="Q13" s="62"/>
      <c r="R13" s="62"/>
      <c r="S13" s="62"/>
      <c r="T13" s="62"/>
      <c r="U13" s="62"/>
      <c r="V13" s="50" t="n">
        <f aca="false">SUM(H13:U13)</f>
        <v>0</v>
      </c>
      <c r="W13" s="48"/>
      <c r="X13" s="51" t="str">
        <f aca="false">IF(W13="","-",W13-V13)</f>
        <v>-</v>
      </c>
      <c r="Y13" s="52" t="str">
        <f aca="false">IF(OR(W13="",W13=0),"-",(W13-V13)/W13)</f>
        <v>-</v>
      </c>
      <c r="AB13" s="54"/>
    </row>
    <row r="14" customFormat="false" ht="18" hidden="false" customHeight="true" outlineLevel="0" collapsed="false">
      <c r="A14" s="44" t="n">
        <v>9</v>
      </c>
      <c r="H14" s="62"/>
      <c r="I14" s="62"/>
      <c r="J14" s="62"/>
      <c r="K14" s="62"/>
      <c r="L14" s="62"/>
      <c r="M14" s="62"/>
      <c r="N14" s="62"/>
      <c r="O14" s="62"/>
      <c r="P14" s="62"/>
      <c r="Q14" s="62"/>
      <c r="R14" s="62"/>
      <c r="S14" s="62"/>
      <c r="T14" s="62"/>
      <c r="U14" s="62"/>
      <c r="V14" s="50" t="n">
        <f aca="false">SUM(H14:U14)</f>
        <v>0</v>
      </c>
      <c r="W14" s="48"/>
      <c r="X14" s="51" t="str">
        <f aca="false">IF(W14="","-",W14-V14)</f>
        <v>-</v>
      </c>
      <c r="Y14" s="52" t="str">
        <f aca="false">IF(OR(W14="",W14=0),"-",(W14-V14)/W14)</f>
        <v>-</v>
      </c>
      <c r="AB14" s="54"/>
    </row>
    <row r="15" customFormat="false" ht="18" hidden="false" customHeight="true" outlineLevel="0" collapsed="false">
      <c r="A15" s="44" t="n">
        <v>10</v>
      </c>
      <c r="H15" s="62"/>
      <c r="I15" s="62"/>
      <c r="J15" s="62"/>
      <c r="K15" s="62"/>
      <c r="L15" s="62"/>
      <c r="M15" s="62"/>
      <c r="N15" s="62"/>
      <c r="O15" s="62"/>
      <c r="P15" s="62"/>
      <c r="Q15" s="62"/>
      <c r="R15" s="62"/>
      <c r="S15" s="62"/>
      <c r="T15" s="62"/>
      <c r="U15" s="62"/>
      <c r="V15" s="50" t="n">
        <f aca="false">SUM(H15:U15)</f>
        <v>0</v>
      </c>
      <c r="W15" s="48"/>
      <c r="X15" s="51" t="str">
        <f aca="false">IF(W15="","-",W15-V15)</f>
        <v>-</v>
      </c>
      <c r="Y15" s="52" t="str">
        <f aca="false">IF(OR(W15="",W15=0),"-",(W15-V15)/W15)</f>
        <v>-</v>
      </c>
      <c r="AB15" s="54"/>
    </row>
    <row r="16" customFormat="false" ht="18" hidden="false" customHeight="true" outlineLevel="0" collapsed="false">
      <c r="A16" s="44" t="n">
        <v>11</v>
      </c>
      <c r="H16" s="62"/>
      <c r="I16" s="62"/>
      <c r="J16" s="62"/>
      <c r="K16" s="62"/>
      <c r="L16" s="62"/>
      <c r="M16" s="62"/>
      <c r="N16" s="62"/>
      <c r="O16" s="62"/>
      <c r="P16" s="62"/>
      <c r="Q16" s="62"/>
      <c r="R16" s="62"/>
      <c r="S16" s="62"/>
      <c r="T16" s="62"/>
      <c r="U16" s="62"/>
      <c r="V16" s="50" t="n">
        <f aca="false">SUM(H16:U16)</f>
        <v>0</v>
      </c>
      <c r="W16" s="48"/>
      <c r="X16" s="51" t="str">
        <f aca="false">IF(W16="","-",W16-V16)</f>
        <v>-</v>
      </c>
      <c r="Y16" s="52" t="str">
        <f aca="false">IF(OR(W16="",W16=0),"-",(W16-V16)/W16)</f>
        <v>-</v>
      </c>
      <c r="AB16" s="54"/>
    </row>
    <row r="17" customFormat="false" ht="18" hidden="false" customHeight="true" outlineLevel="0" collapsed="false">
      <c r="A17" s="44" t="n">
        <v>12</v>
      </c>
      <c r="H17" s="62"/>
      <c r="I17" s="62"/>
      <c r="J17" s="62"/>
      <c r="K17" s="62"/>
      <c r="L17" s="62"/>
      <c r="M17" s="62"/>
      <c r="N17" s="62"/>
      <c r="O17" s="62"/>
      <c r="P17" s="62"/>
      <c r="Q17" s="62"/>
      <c r="R17" s="62"/>
      <c r="S17" s="62"/>
      <c r="T17" s="62"/>
      <c r="U17" s="62"/>
      <c r="V17" s="50" t="n">
        <f aca="false">SUM(H17:U17)</f>
        <v>0</v>
      </c>
      <c r="W17" s="48"/>
      <c r="X17" s="51" t="str">
        <f aca="false">IF(W17="","-",W17-V17)</f>
        <v>-</v>
      </c>
      <c r="Y17" s="52" t="str">
        <f aca="false">IF(OR(W17="",W17=0),"-",(W17-V17)/W17)</f>
        <v>-</v>
      </c>
      <c r="AB17" s="54"/>
    </row>
    <row r="18" customFormat="false" ht="18" hidden="false" customHeight="true" outlineLevel="0" collapsed="false">
      <c r="A18" s="44" t="n">
        <v>13</v>
      </c>
      <c r="H18" s="62"/>
      <c r="I18" s="62"/>
      <c r="J18" s="62"/>
      <c r="K18" s="62"/>
      <c r="L18" s="62"/>
      <c r="M18" s="62"/>
      <c r="N18" s="62"/>
      <c r="O18" s="62"/>
      <c r="P18" s="62"/>
      <c r="Q18" s="62"/>
      <c r="R18" s="62"/>
      <c r="S18" s="62"/>
      <c r="T18" s="62"/>
      <c r="U18" s="62"/>
      <c r="V18" s="50" t="n">
        <f aca="false">SUM(H18:U18)</f>
        <v>0</v>
      </c>
      <c r="W18" s="48"/>
      <c r="X18" s="51" t="str">
        <f aca="false">IF(W18="","-",W18-V18)</f>
        <v>-</v>
      </c>
      <c r="Y18" s="52" t="str">
        <f aca="false">IF(OR(W18="",W18=0),"-",(W18-V18)/W18)</f>
        <v>-</v>
      </c>
      <c r="AB18" s="54"/>
    </row>
    <row r="19" customFormat="false" ht="18" hidden="false" customHeight="true" outlineLevel="0" collapsed="false">
      <c r="A19" s="44" t="n">
        <v>14</v>
      </c>
      <c r="H19" s="62"/>
      <c r="I19" s="62"/>
      <c r="J19" s="62"/>
      <c r="K19" s="62"/>
      <c r="L19" s="62"/>
      <c r="M19" s="62"/>
      <c r="N19" s="62"/>
      <c r="O19" s="62"/>
      <c r="P19" s="62"/>
      <c r="Q19" s="62"/>
      <c r="R19" s="62"/>
      <c r="S19" s="62"/>
      <c r="T19" s="62"/>
      <c r="U19" s="62"/>
      <c r="V19" s="50" t="n">
        <f aca="false">SUM(H19:U19)</f>
        <v>0</v>
      </c>
      <c r="W19" s="48"/>
      <c r="X19" s="51" t="str">
        <f aca="false">IF(W19="","-",W19-V19)</f>
        <v>-</v>
      </c>
      <c r="Y19" s="52" t="str">
        <f aca="false">IF(OR(W19="",W19=0),"-",(W19-V19)/W19)</f>
        <v>-</v>
      </c>
      <c r="AB19" s="54"/>
    </row>
    <row r="20" customFormat="false" ht="18" hidden="false" customHeight="true" outlineLevel="0" collapsed="false">
      <c r="A20" s="44" t="n">
        <v>15</v>
      </c>
      <c r="H20" s="62"/>
      <c r="I20" s="62"/>
      <c r="J20" s="62"/>
      <c r="K20" s="62"/>
      <c r="L20" s="62"/>
      <c r="M20" s="62"/>
      <c r="N20" s="62"/>
      <c r="O20" s="62"/>
      <c r="P20" s="62"/>
      <c r="Q20" s="62"/>
      <c r="R20" s="62"/>
      <c r="S20" s="62"/>
      <c r="T20" s="62"/>
      <c r="U20" s="62"/>
      <c r="V20" s="50" t="n">
        <f aca="false">SUM(H20:U20)</f>
        <v>0</v>
      </c>
      <c r="W20" s="48"/>
      <c r="X20" s="51" t="str">
        <f aca="false">IF(W20="","-",W20-V20)</f>
        <v>-</v>
      </c>
      <c r="Y20" s="52" t="str">
        <f aca="false">IF(OR(W20="",W20=0),"-",(W20-V20)/W20)</f>
        <v>-</v>
      </c>
      <c r="AB20" s="54"/>
    </row>
    <row r="21" customFormat="false" ht="18" hidden="false" customHeight="true" outlineLevel="0" collapsed="false">
      <c r="A21" s="44" t="n">
        <v>16</v>
      </c>
      <c r="H21" s="62"/>
      <c r="I21" s="62"/>
      <c r="J21" s="62"/>
      <c r="K21" s="62"/>
      <c r="L21" s="62"/>
      <c r="M21" s="62"/>
      <c r="N21" s="62"/>
      <c r="O21" s="62"/>
      <c r="P21" s="62"/>
      <c r="Q21" s="62"/>
      <c r="R21" s="62"/>
      <c r="S21" s="62"/>
      <c r="T21" s="62"/>
      <c r="U21" s="62"/>
      <c r="V21" s="50" t="n">
        <f aca="false">SUM(H21:U21)</f>
        <v>0</v>
      </c>
      <c r="W21" s="48"/>
      <c r="X21" s="51" t="str">
        <f aca="false">IF(W21="","-",W21-V21)</f>
        <v>-</v>
      </c>
      <c r="Y21" s="52" t="str">
        <f aca="false">IF(OR(W21="",W21=0),"-",(W21-V21)/W21)</f>
        <v>-</v>
      </c>
      <c r="AB21" s="54"/>
    </row>
    <row r="22" customFormat="false" ht="18" hidden="false" customHeight="true" outlineLevel="0" collapsed="false">
      <c r="A22" s="44" t="n">
        <v>17</v>
      </c>
      <c r="H22" s="62"/>
      <c r="I22" s="62"/>
      <c r="J22" s="62"/>
      <c r="K22" s="62"/>
      <c r="L22" s="62"/>
      <c r="M22" s="62"/>
      <c r="N22" s="62"/>
      <c r="O22" s="62"/>
      <c r="P22" s="62"/>
      <c r="Q22" s="62"/>
      <c r="R22" s="62"/>
      <c r="S22" s="62"/>
      <c r="T22" s="62"/>
      <c r="U22" s="62"/>
      <c r="V22" s="50" t="n">
        <f aca="false">SUM(H22:U22)</f>
        <v>0</v>
      </c>
      <c r="W22" s="48"/>
      <c r="X22" s="51" t="str">
        <f aca="false">IF(W22="","-",W22-V22)</f>
        <v>-</v>
      </c>
      <c r="Y22" s="52" t="str">
        <f aca="false">IF(OR(W22="",W22=0),"-",(W22-V22)/W22)</f>
        <v>-</v>
      </c>
      <c r="AB22" s="54"/>
    </row>
    <row r="23" customFormat="false" ht="18" hidden="false" customHeight="true" outlineLevel="0" collapsed="false">
      <c r="A23" s="44" t="n">
        <v>18</v>
      </c>
      <c r="H23" s="62"/>
      <c r="I23" s="62"/>
      <c r="J23" s="62"/>
      <c r="K23" s="62"/>
      <c r="L23" s="62"/>
      <c r="M23" s="62"/>
      <c r="N23" s="62"/>
      <c r="O23" s="62"/>
      <c r="P23" s="62"/>
      <c r="Q23" s="62"/>
      <c r="R23" s="62"/>
      <c r="S23" s="62"/>
      <c r="T23" s="62"/>
      <c r="U23" s="62"/>
      <c r="V23" s="50" t="n">
        <f aca="false">SUM(H23:U23)</f>
        <v>0</v>
      </c>
      <c r="W23" s="48"/>
      <c r="X23" s="51" t="str">
        <f aca="false">IF(W23="","-",W23-V23)</f>
        <v>-</v>
      </c>
      <c r="Y23" s="52" t="str">
        <f aca="false">IF(OR(W23="",W23=0),"-",(W23-V23)/W23)</f>
        <v>-</v>
      </c>
      <c r="AB23" s="54"/>
    </row>
    <row r="24" customFormat="false" ht="18" hidden="false" customHeight="true" outlineLevel="0" collapsed="false">
      <c r="A24" s="44" t="n">
        <v>19</v>
      </c>
      <c r="H24" s="62"/>
      <c r="I24" s="62"/>
      <c r="J24" s="62"/>
      <c r="K24" s="62"/>
      <c r="L24" s="62"/>
      <c r="M24" s="62"/>
      <c r="N24" s="62"/>
      <c r="O24" s="62"/>
      <c r="P24" s="62"/>
      <c r="Q24" s="62"/>
      <c r="R24" s="62"/>
      <c r="S24" s="62"/>
      <c r="T24" s="62"/>
      <c r="U24" s="62"/>
      <c r="V24" s="50" t="n">
        <f aca="false">SUM(H24:U24)</f>
        <v>0</v>
      </c>
      <c r="W24" s="48"/>
      <c r="X24" s="51" t="str">
        <f aca="false">IF(W24="","-",W24-V24)</f>
        <v>-</v>
      </c>
      <c r="Y24" s="52" t="str">
        <f aca="false">IF(OR(W24="",W24=0),"-",(W24-V24)/W24)</f>
        <v>-</v>
      </c>
      <c r="AB24" s="54"/>
    </row>
    <row r="25" customFormat="false" ht="18" hidden="false" customHeight="true" outlineLevel="0" collapsed="false">
      <c r="A25" s="44" t="n">
        <v>20</v>
      </c>
      <c r="H25" s="62"/>
      <c r="I25" s="62"/>
      <c r="J25" s="62"/>
      <c r="K25" s="62"/>
      <c r="L25" s="62"/>
      <c r="M25" s="62"/>
      <c r="N25" s="62"/>
      <c r="O25" s="62"/>
      <c r="P25" s="62"/>
      <c r="Q25" s="62"/>
      <c r="R25" s="62"/>
      <c r="S25" s="62"/>
      <c r="T25" s="62"/>
      <c r="U25" s="62"/>
      <c r="V25" s="50" t="n">
        <f aca="false">SUM(H25:U25)</f>
        <v>0</v>
      </c>
      <c r="W25" s="48"/>
      <c r="X25" s="51" t="str">
        <f aca="false">IF(W25="","-",W25-V25)</f>
        <v>-</v>
      </c>
      <c r="Y25" s="52" t="str">
        <f aca="false">IF(OR(W25="",W25=0),"-",(W25-V25)/W25)</f>
        <v>-</v>
      </c>
      <c r="AB25" s="54"/>
    </row>
    <row r="26" customFormat="false" ht="18" hidden="false" customHeight="true" outlineLevel="0" collapsed="false">
      <c r="A26" s="44" t="n">
        <v>21</v>
      </c>
      <c r="H26" s="62"/>
      <c r="I26" s="62"/>
      <c r="J26" s="62"/>
      <c r="K26" s="62"/>
      <c r="L26" s="62"/>
      <c r="M26" s="62"/>
      <c r="N26" s="62"/>
      <c r="O26" s="62"/>
      <c r="P26" s="62"/>
      <c r="Q26" s="62"/>
      <c r="R26" s="62"/>
      <c r="S26" s="62"/>
      <c r="T26" s="62"/>
      <c r="U26" s="62"/>
      <c r="V26" s="50" t="n">
        <f aca="false">SUM(H26:U26)</f>
        <v>0</v>
      </c>
      <c r="W26" s="48"/>
      <c r="X26" s="51" t="str">
        <f aca="false">IF(W26="","-",W26-V26)</f>
        <v>-</v>
      </c>
      <c r="Y26" s="52" t="str">
        <f aca="false">IF(OR(W26="",W26=0),"-",(W26-V26)/W26)</f>
        <v>-</v>
      </c>
      <c r="AB26" s="54"/>
    </row>
    <row r="27" customFormat="false" ht="18" hidden="false" customHeight="true" outlineLevel="0" collapsed="false">
      <c r="A27" s="44" t="n">
        <v>22</v>
      </c>
      <c r="H27" s="62"/>
      <c r="I27" s="62"/>
      <c r="J27" s="62"/>
      <c r="K27" s="62"/>
      <c r="L27" s="62"/>
      <c r="M27" s="62"/>
      <c r="N27" s="62"/>
      <c r="O27" s="62"/>
      <c r="P27" s="62"/>
      <c r="Q27" s="62"/>
      <c r="R27" s="62"/>
      <c r="S27" s="62"/>
      <c r="T27" s="62"/>
      <c r="U27" s="62"/>
      <c r="V27" s="50" t="n">
        <f aca="false">SUM(H27:U27)</f>
        <v>0</v>
      </c>
      <c r="W27" s="48"/>
      <c r="X27" s="51" t="str">
        <f aca="false">IF(W27="","-",W27-V27)</f>
        <v>-</v>
      </c>
      <c r="Y27" s="52" t="str">
        <f aca="false">IF(OR(W27="",W27=0),"-",(W27-V27)/W27)</f>
        <v>-</v>
      </c>
      <c r="AB27" s="54"/>
    </row>
    <row r="28" customFormat="false" ht="18" hidden="false" customHeight="true" outlineLevel="0" collapsed="false">
      <c r="A28" s="44" t="n">
        <v>23</v>
      </c>
      <c r="H28" s="62"/>
      <c r="I28" s="62"/>
      <c r="J28" s="62"/>
      <c r="K28" s="62"/>
      <c r="L28" s="62"/>
      <c r="M28" s="62"/>
      <c r="N28" s="62"/>
      <c r="O28" s="62"/>
      <c r="P28" s="62"/>
      <c r="Q28" s="62"/>
      <c r="R28" s="62"/>
      <c r="S28" s="62"/>
      <c r="T28" s="62"/>
      <c r="U28" s="62"/>
      <c r="V28" s="50" t="n">
        <f aca="false">SUM(H28:U28)</f>
        <v>0</v>
      </c>
      <c r="W28" s="48"/>
      <c r="X28" s="51" t="str">
        <f aca="false">IF(W28="","-",W28-V28)</f>
        <v>-</v>
      </c>
      <c r="Y28" s="52" t="str">
        <f aca="false">IF(OR(W28="",W28=0),"-",(W28-V28)/W28)</f>
        <v>-</v>
      </c>
      <c r="AB28" s="54"/>
    </row>
    <row r="29" customFormat="false" ht="18" hidden="false" customHeight="true" outlineLevel="0" collapsed="false">
      <c r="A29" s="44" t="n">
        <v>24</v>
      </c>
      <c r="H29" s="62"/>
      <c r="I29" s="62"/>
      <c r="J29" s="62"/>
      <c r="K29" s="62"/>
      <c r="L29" s="62"/>
      <c r="M29" s="62"/>
      <c r="N29" s="62"/>
      <c r="O29" s="62"/>
      <c r="P29" s="62"/>
      <c r="Q29" s="62"/>
      <c r="R29" s="62"/>
      <c r="S29" s="62"/>
      <c r="T29" s="62"/>
      <c r="U29" s="62"/>
      <c r="V29" s="50" t="n">
        <f aca="false">SUM(H29:U29)</f>
        <v>0</v>
      </c>
      <c r="W29" s="48"/>
      <c r="X29" s="51" t="str">
        <f aca="false">IF(W29="","-",W29-V29)</f>
        <v>-</v>
      </c>
      <c r="Y29" s="52" t="str">
        <f aca="false">IF(OR(W29="",W29=0),"-",(W29-V29)/W29)</f>
        <v>-</v>
      </c>
      <c r="AB29" s="54"/>
    </row>
    <row r="30" customFormat="false" ht="18" hidden="false" customHeight="true" outlineLevel="0" collapsed="false">
      <c r="A30" s="44" t="n">
        <v>25</v>
      </c>
      <c r="H30" s="62"/>
      <c r="I30" s="62"/>
      <c r="J30" s="62"/>
      <c r="K30" s="62"/>
      <c r="L30" s="62"/>
      <c r="M30" s="62"/>
      <c r="N30" s="62"/>
      <c r="O30" s="62"/>
      <c r="P30" s="62"/>
      <c r="Q30" s="62"/>
      <c r="R30" s="62"/>
      <c r="S30" s="62"/>
      <c r="T30" s="62"/>
      <c r="U30" s="62"/>
      <c r="V30" s="50" t="n">
        <f aca="false">SUM(H30:U30)</f>
        <v>0</v>
      </c>
      <c r="W30" s="48"/>
      <c r="X30" s="51" t="str">
        <f aca="false">IF(W30="","-",W30-V30)</f>
        <v>-</v>
      </c>
      <c r="Y30" s="52" t="str">
        <f aca="false">IF(OR(W30="",W30=0),"-",(W30-V30)/W30)</f>
        <v>-</v>
      </c>
      <c r="AB30" s="54"/>
    </row>
    <row r="31" customFormat="false" ht="18" hidden="false" customHeight="true" outlineLevel="0" collapsed="false">
      <c r="A31" s="44" t="n">
        <v>26</v>
      </c>
      <c r="H31" s="62"/>
      <c r="I31" s="62"/>
      <c r="J31" s="62"/>
      <c r="K31" s="62"/>
      <c r="L31" s="62"/>
      <c r="M31" s="62"/>
      <c r="N31" s="62"/>
      <c r="O31" s="62"/>
      <c r="P31" s="62"/>
      <c r="Q31" s="62"/>
      <c r="R31" s="62"/>
      <c r="S31" s="62"/>
      <c r="T31" s="62"/>
      <c r="U31" s="62"/>
      <c r="V31" s="50" t="n">
        <f aca="false">SUM(H31:U31)</f>
        <v>0</v>
      </c>
      <c r="W31" s="48"/>
      <c r="X31" s="51" t="str">
        <f aca="false">IF(W31="","-",W31-V31)</f>
        <v>-</v>
      </c>
      <c r="Y31" s="52" t="str">
        <f aca="false">IF(OR(W31="",W31=0),"-",(W31-V31)/W31)</f>
        <v>-</v>
      </c>
      <c r="AB31" s="54"/>
    </row>
    <row r="32" customFormat="false" ht="18" hidden="false" customHeight="true" outlineLevel="0" collapsed="false">
      <c r="A32" s="44" t="n">
        <v>27</v>
      </c>
      <c r="H32" s="62"/>
      <c r="I32" s="62"/>
      <c r="J32" s="62"/>
      <c r="K32" s="62"/>
      <c r="L32" s="62"/>
      <c r="M32" s="62"/>
      <c r="N32" s="62"/>
      <c r="O32" s="62"/>
      <c r="P32" s="62"/>
      <c r="Q32" s="62"/>
      <c r="R32" s="62"/>
      <c r="S32" s="62"/>
      <c r="T32" s="62"/>
      <c r="U32" s="62"/>
      <c r="V32" s="50" t="n">
        <f aca="false">SUM(H32:U32)</f>
        <v>0</v>
      </c>
      <c r="W32" s="48"/>
      <c r="X32" s="51" t="str">
        <f aca="false">IF(W32="","-",W32-V32)</f>
        <v>-</v>
      </c>
      <c r="Y32" s="52" t="str">
        <f aca="false">IF(OR(W32="",W32=0),"-",(W32-V32)/W32)</f>
        <v>-</v>
      </c>
      <c r="AB32" s="54"/>
    </row>
    <row r="33" customFormat="false" ht="18" hidden="false" customHeight="true" outlineLevel="0" collapsed="false">
      <c r="A33" s="44" t="n">
        <v>28</v>
      </c>
      <c r="H33" s="62"/>
      <c r="I33" s="62"/>
      <c r="J33" s="62"/>
      <c r="K33" s="62"/>
      <c r="L33" s="62"/>
      <c r="M33" s="62"/>
      <c r="N33" s="62"/>
      <c r="O33" s="62"/>
      <c r="P33" s="62"/>
      <c r="Q33" s="62"/>
      <c r="R33" s="62"/>
      <c r="S33" s="62"/>
      <c r="T33" s="62"/>
      <c r="U33" s="62"/>
      <c r="V33" s="50" t="n">
        <f aca="false">SUM(H33:U33)</f>
        <v>0</v>
      </c>
      <c r="W33" s="48"/>
      <c r="X33" s="51" t="str">
        <f aca="false">IF(W33="","-",W33-V33)</f>
        <v>-</v>
      </c>
      <c r="Y33" s="52" t="str">
        <f aca="false">IF(OR(W33="",W33=0),"-",(W33-V33)/W33)</f>
        <v>-</v>
      </c>
      <c r="AB33" s="54"/>
    </row>
    <row r="34" customFormat="false" ht="18" hidden="false" customHeight="true" outlineLevel="0" collapsed="false">
      <c r="A34" s="44" t="n">
        <v>29</v>
      </c>
      <c r="H34" s="62"/>
      <c r="I34" s="62"/>
      <c r="J34" s="62"/>
      <c r="K34" s="62"/>
      <c r="L34" s="62"/>
      <c r="M34" s="62"/>
      <c r="N34" s="62"/>
      <c r="O34" s="62"/>
      <c r="P34" s="62"/>
      <c r="Q34" s="62"/>
      <c r="R34" s="62"/>
      <c r="S34" s="62"/>
      <c r="T34" s="62"/>
      <c r="U34" s="62"/>
      <c r="V34" s="50" t="n">
        <f aca="false">SUM(H34:U34)</f>
        <v>0</v>
      </c>
      <c r="W34" s="48"/>
      <c r="X34" s="51" t="str">
        <f aca="false">IF(W34="","-",W34-V34)</f>
        <v>-</v>
      </c>
      <c r="Y34" s="52" t="str">
        <f aca="false">IF(OR(W34="",W34=0),"-",(W34-V34)/W34)</f>
        <v>-</v>
      </c>
      <c r="AB34" s="54"/>
    </row>
    <row r="35" customFormat="false" ht="18" hidden="false" customHeight="true" outlineLevel="0" collapsed="false">
      <c r="A35" s="44" t="n">
        <v>30</v>
      </c>
      <c r="H35" s="62"/>
      <c r="I35" s="62"/>
      <c r="J35" s="62"/>
      <c r="K35" s="62"/>
      <c r="L35" s="62"/>
      <c r="M35" s="62"/>
      <c r="N35" s="62"/>
      <c r="O35" s="62"/>
      <c r="P35" s="62"/>
      <c r="Q35" s="62"/>
      <c r="R35" s="62"/>
      <c r="S35" s="62"/>
      <c r="T35" s="62"/>
      <c r="U35" s="62"/>
      <c r="V35" s="50" t="n">
        <f aca="false">SUM(H35:U35)</f>
        <v>0</v>
      </c>
      <c r="W35" s="48"/>
      <c r="X35" s="51" t="str">
        <f aca="false">IF(W35="","-",W35-V35)</f>
        <v>-</v>
      </c>
      <c r="Y35" s="52" t="str">
        <f aca="false">IF(OR(W35="",W35=0),"-",(W35-V35)/W35)</f>
        <v>-</v>
      </c>
      <c r="AB35" s="54"/>
    </row>
    <row r="36" customFormat="false" ht="18" hidden="false" customHeight="true" outlineLevel="0" collapsed="false">
      <c r="A36" s="63" t="s">
        <v>305</v>
      </c>
      <c r="B36" s="63"/>
      <c r="C36" s="63"/>
      <c r="D36" s="63"/>
      <c r="E36" s="63"/>
      <c r="F36" s="63"/>
      <c r="G36" s="63"/>
      <c r="H36" s="64" t="n">
        <f aca="false">IFERROR(SUM(H6:H35),0)</f>
        <v>7570</v>
      </c>
      <c r="I36" s="64" t="n">
        <f aca="false">IFERROR(SUM(I6:I35),0)</f>
        <v>4216.04</v>
      </c>
      <c r="J36" s="64" t="n">
        <f aca="false">IFERROR(SUM(J6:J35),0)</f>
        <v>9618.93</v>
      </c>
      <c r="K36" s="64" t="n">
        <f aca="false">IFERROR(SUM(K6:K35),0)</f>
        <v>1218.44</v>
      </c>
      <c r="L36" s="64" t="n">
        <f aca="false">IFERROR(SUM(L6:L35),0)</f>
        <v>892</v>
      </c>
      <c r="M36" s="64" t="n">
        <f aca="false">IFERROR(SUM(M6:M35),0)</f>
        <v>5811.14</v>
      </c>
      <c r="N36" s="64" t="n">
        <f aca="false">IFERROR(SUM(N6:N35),0)</f>
        <v>624.68</v>
      </c>
      <c r="O36" s="64" t="n">
        <f aca="false">IFERROR(SUM(O6:O35),0)</f>
        <v>1809.46</v>
      </c>
      <c r="P36" s="64" t="n">
        <f aca="false">IFERROR(SUM(P6:P35),0)</f>
        <v>710.22</v>
      </c>
      <c r="Q36" s="64" t="n">
        <f aca="false">IFERROR(SUM(Q6:Q35),0)</f>
        <v>504.34</v>
      </c>
      <c r="R36" s="64" t="n">
        <f aca="false">IFERROR(SUM(R6:R35),0)</f>
        <v>85.3</v>
      </c>
      <c r="S36" s="64" t="n">
        <f aca="false">IFERROR(SUM(S6:S35),0)</f>
        <v>2090.8</v>
      </c>
      <c r="T36" s="64" t="n">
        <f aca="false">IFERROR(SUM(T6:T35),0)</f>
        <v>2583.8</v>
      </c>
      <c r="U36" s="64" t="n">
        <f aca="false">IFERROR(SUM(U6:U35),0)</f>
        <v>0</v>
      </c>
      <c r="V36" s="64" t="n">
        <f aca="false">IFERROR(SUM(V6:V35),0)</f>
        <v>37735.15</v>
      </c>
      <c r="W36" s="64" t="n">
        <f aca="false">IFERROR(SUM(W6:W35),0)</f>
        <v>47818.95</v>
      </c>
      <c r="X36" s="64" t="n">
        <f aca="false">IFERROR(SUM(X6:X35),0)</f>
        <v>10083.8</v>
      </c>
      <c r="Y36" s="65" t="n">
        <f aca="false">IFERROR(X36/W36,"-")</f>
        <v>0.21087455914444</v>
      </c>
      <c r="AB36" s="54"/>
    </row>
    <row r="40" customFormat="false" ht="21.75" hidden="false" customHeight="true" outlineLevel="0" collapsed="false">
      <c r="A40" s="66" t="s">
        <v>306</v>
      </c>
      <c r="B40" s="66"/>
      <c r="C40" s="66"/>
      <c r="D40" s="66"/>
      <c r="E40" s="66"/>
      <c r="F40" s="66"/>
      <c r="G40" s="66"/>
      <c r="H40" s="66"/>
      <c r="I40" s="66"/>
      <c r="J40" s="66"/>
      <c r="K40" s="66"/>
      <c r="L40" s="66"/>
      <c r="M40" s="66"/>
    </row>
    <row r="41" customFormat="false" ht="30" hidden="false" customHeight="true" outlineLevel="0" collapsed="false">
      <c r="A41" s="67" t="s">
        <v>258</v>
      </c>
      <c r="B41" s="67" t="s">
        <v>259</v>
      </c>
      <c r="C41" s="67" t="s">
        <v>307</v>
      </c>
      <c r="D41" s="67" t="s">
        <v>308</v>
      </c>
      <c r="E41" s="67" t="s">
        <v>309</v>
      </c>
      <c r="F41" s="67" t="s">
        <v>310</v>
      </c>
      <c r="G41" s="67" t="s">
        <v>311</v>
      </c>
      <c r="H41" s="67" t="s">
        <v>312</v>
      </c>
      <c r="I41" s="67" t="s">
        <v>313</v>
      </c>
      <c r="J41" s="67" t="s">
        <v>314</v>
      </c>
      <c r="K41" s="67" t="s">
        <v>315</v>
      </c>
      <c r="L41" s="67" t="s">
        <v>316</v>
      </c>
      <c r="M41" s="67" t="s">
        <v>317</v>
      </c>
    </row>
    <row r="42" customFormat="false" ht="19.5" hidden="false" customHeight="true" outlineLevel="0" collapsed="false">
      <c r="A42" s="68" t="n">
        <v>1</v>
      </c>
      <c r="B42" s="69" t="s">
        <v>284</v>
      </c>
      <c r="C42" s="70" t="n">
        <f aca="false">V6</f>
        <v>7187.61</v>
      </c>
      <c r="D42" s="71" t="n">
        <v>8176.25</v>
      </c>
      <c r="E42" s="72" t="n">
        <f aca="false">D42+1000</f>
        <v>9176.25</v>
      </c>
      <c r="F42" s="70" t="n">
        <f aca="false">E42-C42</f>
        <v>1988.64</v>
      </c>
      <c r="G42" s="73" t="n">
        <f aca="false">IFERROR((E42-C42)/E42,"-")</f>
        <v>0.216715978749489</v>
      </c>
      <c r="H42" s="72" t="n">
        <f aca="false">C42/0.65</f>
        <v>11057.8615384615</v>
      </c>
      <c r="I42" s="70" t="n">
        <f aca="false">H42-C42</f>
        <v>3870.25153846154</v>
      </c>
      <c r="J42" s="73" t="n">
        <f aca="false">IFERROR((H42-C42)/H42,"-")</f>
        <v>0.35</v>
      </c>
      <c r="K42" s="74" t="n">
        <f aca="false">W6</f>
        <v>7500</v>
      </c>
      <c r="L42" s="70" t="n">
        <f aca="false">K42-C42</f>
        <v>312.39</v>
      </c>
      <c r="M42" s="73" t="n">
        <f aca="false">IFERROR((K42-C42)/K42,"-")</f>
        <v>0.041652</v>
      </c>
    </row>
    <row r="43" customFormat="false" ht="19.5" hidden="false" customHeight="true" outlineLevel="0" collapsed="false">
      <c r="A43" s="75" t="n">
        <v>2</v>
      </c>
      <c r="B43" s="76" t="s">
        <v>291</v>
      </c>
      <c r="C43" s="70" t="n">
        <f aca="false">V7</f>
        <v>7662.13</v>
      </c>
      <c r="D43" s="71" t="n">
        <v>8701.54</v>
      </c>
      <c r="E43" s="72" t="n">
        <f aca="false">D43+1000</f>
        <v>9701.54</v>
      </c>
      <c r="F43" s="70" t="n">
        <f aca="false">E43-C43</f>
        <v>2039.41</v>
      </c>
      <c r="G43" s="73" t="n">
        <f aca="false">IFERROR((E43-C43)/E43,"-")</f>
        <v>0.210215079255458</v>
      </c>
      <c r="H43" s="72" t="n">
        <f aca="false">C43/0.65</f>
        <v>11787.8923076923</v>
      </c>
      <c r="I43" s="70" t="n">
        <f aca="false">H43-C43</f>
        <v>4125.76230769231</v>
      </c>
      <c r="J43" s="73" t="n">
        <f aca="false">IFERROR((H43-C43)/H43,"-")</f>
        <v>0.35</v>
      </c>
      <c r="K43" s="74" t="n">
        <f aca="false">W7</f>
        <v>10700</v>
      </c>
      <c r="L43" s="70" t="n">
        <f aca="false">K43-C43</f>
        <v>3037.87</v>
      </c>
      <c r="M43" s="73" t="n">
        <f aca="false">IFERROR((K43-C43)/K43,"-")</f>
        <v>0.28391308411215</v>
      </c>
    </row>
    <row r="44" customFormat="false" ht="19.5" hidden="false" customHeight="true" outlineLevel="0" collapsed="false">
      <c r="A44" s="68" t="n">
        <v>3</v>
      </c>
      <c r="B44" s="69" t="s">
        <v>295</v>
      </c>
      <c r="C44" s="70" t="n">
        <f aca="false">V8</f>
        <v>7640.84</v>
      </c>
      <c r="D44" s="71" t="n">
        <v>8988.32</v>
      </c>
      <c r="E44" s="72" t="n">
        <f aca="false">D44+1000</f>
        <v>9988.32</v>
      </c>
      <c r="F44" s="70" t="n">
        <f aca="false">E44-C44</f>
        <v>2347.48</v>
      </c>
      <c r="G44" s="73" t="n">
        <f aca="false">IFERROR((E44-C44)/E44,"-")</f>
        <v>0.235022506287344</v>
      </c>
      <c r="H44" s="72" t="n">
        <f aca="false">C44/0.65</f>
        <v>11755.1384615385</v>
      </c>
      <c r="I44" s="70" t="n">
        <f aca="false">H44-C44</f>
        <v>4114.29846153846</v>
      </c>
      <c r="J44" s="73" t="n">
        <f aca="false">IFERROR((H44-C44)/H44,"-")</f>
        <v>0.35</v>
      </c>
      <c r="K44" s="74" t="n">
        <f aca="false">W8</f>
        <v>9900</v>
      </c>
      <c r="L44" s="70" t="n">
        <f aca="false">K44-C44</f>
        <v>2259.16</v>
      </c>
      <c r="M44" s="73" t="n">
        <f aca="false">IFERROR((K44-C44)/K44,"-")</f>
        <v>0.22819797979798</v>
      </c>
    </row>
    <row r="45" customFormat="false" ht="19.5" hidden="false" customHeight="true" outlineLevel="0" collapsed="false">
      <c r="A45" s="75" t="n">
        <v>4</v>
      </c>
      <c r="B45" s="76" t="s">
        <v>298</v>
      </c>
      <c r="C45" s="70" t="n">
        <f aca="false">V9</f>
        <v>5441.13</v>
      </c>
      <c r="D45" s="71" t="n">
        <v>5900.82</v>
      </c>
      <c r="E45" s="72" t="n">
        <f aca="false">D45+1000</f>
        <v>6900.82</v>
      </c>
      <c r="F45" s="70" t="n">
        <f aca="false">E45-C45</f>
        <v>1459.69</v>
      </c>
      <c r="G45" s="73" t="n">
        <f aca="false">IFERROR((E45-C45)/E45,"-")</f>
        <v>0.211524137711171</v>
      </c>
      <c r="H45" s="72" t="n">
        <f aca="false">C45/0.65</f>
        <v>8370.96923076923</v>
      </c>
      <c r="I45" s="70" t="n">
        <f aca="false">H45-C45</f>
        <v>2929.83923076923</v>
      </c>
      <c r="J45" s="73" t="n">
        <f aca="false">IFERROR((H45-C45)/H45,"-")</f>
        <v>0.35</v>
      </c>
      <c r="K45" s="74" t="n">
        <f aca="false">W9</f>
        <v>6400</v>
      </c>
      <c r="L45" s="70" t="n">
        <f aca="false">K45-C45</f>
        <v>958.87</v>
      </c>
      <c r="M45" s="73" t="n">
        <f aca="false">IFERROR((K45-C45)/K45,"-")</f>
        <v>0.1498234375</v>
      </c>
    </row>
    <row r="46" customFormat="false" ht="19.5" hidden="false" customHeight="true" outlineLevel="0" collapsed="false">
      <c r="A46" s="77" t="n">
        <v>5</v>
      </c>
      <c r="B46" s="78" t="s">
        <v>300</v>
      </c>
      <c r="C46" s="70" t="n">
        <f aca="false">V10</f>
        <v>5302.78</v>
      </c>
      <c r="D46" s="79" t="n">
        <v>6331.89</v>
      </c>
      <c r="E46" s="72" t="n">
        <f aca="false">D46+1000</f>
        <v>7331.89</v>
      </c>
      <c r="F46" s="70" t="n">
        <f aca="false">E46-C46</f>
        <v>2029.11</v>
      </c>
      <c r="G46" s="73" t="n">
        <f aca="false">IFERROR((E46-C46)/E46,"-")</f>
        <v>0.276751287867112</v>
      </c>
      <c r="H46" s="72" t="n">
        <f aca="false">C46/0.65</f>
        <v>8158.12307692308</v>
      </c>
      <c r="I46" s="70" t="n">
        <f aca="false">H46-C46</f>
        <v>2855.34307692308</v>
      </c>
      <c r="J46" s="73" t="n">
        <f aca="false">IFERROR((H46-C46)/H46,"-")</f>
        <v>0.35</v>
      </c>
      <c r="K46" s="74" t="n">
        <f aca="false">W10</f>
        <v>7715.95</v>
      </c>
      <c r="L46" s="70" t="n">
        <f aca="false">K46-C46</f>
        <v>2413.17</v>
      </c>
      <c r="M46" s="73" t="n">
        <f aca="false">IFERROR((K46-C46)/K46,"-")</f>
        <v>0.31275086023108</v>
      </c>
    </row>
    <row r="47" customFormat="false" ht="19.5" hidden="false" customHeight="true" outlineLevel="0" collapsed="false">
      <c r="A47" s="80" t="n">
        <v>6</v>
      </c>
      <c r="B47" s="78" t="s">
        <v>303</v>
      </c>
      <c r="C47" s="70" t="n">
        <f aca="false">V11</f>
        <v>4500.66</v>
      </c>
      <c r="D47" s="71" t="n">
        <v>5489.94</v>
      </c>
      <c r="E47" s="72" t="n">
        <f aca="false">D47+1000</f>
        <v>6489.94</v>
      </c>
      <c r="F47" s="70" t="n">
        <f aca="false">E47-C47</f>
        <v>1989.28</v>
      </c>
      <c r="G47" s="73" t="n">
        <f aca="false">IFERROR((E47-C47)/E47,"-")</f>
        <v>0.306517471656132</v>
      </c>
      <c r="H47" s="72" t="n">
        <f aca="false">C47/0.65</f>
        <v>6924.09230769231</v>
      </c>
      <c r="I47" s="70" t="n">
        <f aca="false">H47-C47</f>
        <v>2423.43230769231</v>
      </c>
      <c r="J47" s="73" t="n">
        <f aca="false">IFERROR((H47-C47)/H47,"-")</f>
        <v>0.35</v>
      </c>
      <c r="K47" s="74" t="n">
        <f aca="false">W11</f>
        <v>5603</v>
      </c>
      <c r="L47" s="70" t="n">
        <f aca="false">K47-C47</f>
        <v>1102.34</v>
      </c>
      <c r="M47" s="73" t="n">
        <f aca="false">IFERROR((K47-C47)/K47,"-")</f>
        <v>0.19674103159022</v>
      </c>
    </row>
    <row r="48" customFormat="false" ht="15" hidden="false" customHeight="true" outlineLevel="0" collapsed="false">
      <c r="A48" s="81" t="s">
        <v>318</v>
      </c>
      <c r="B48" s="81"/>
      <c r="C48" s="81"/>
      <c r="D48" s="81"/>
      <c r="E48" s="81"/>
      <c r="F48" s="81"/>
      <c r="G48" s="81"/>
      <c r="H48" s="81"/>
      <c r="I48" s="81"/>
      <c r="J48" s="81"/>
      <c r="K48" s="81"/>
      <c r="L48" s="81"/>
      <c r="M48" s="81"/>
    </row>
  </sheetData>
  <mergeCells count="11">
    <mergeCell ref="A1:AB1"/>
    <mergeCell ref="A2:AB2"/>
    <mergeCell ref="A4:B4"/>
    <mergeCell ref="C4:D4"/>
    <mergeCell ref="E4:G4"/>
    <mergeCell ref="H4:U4"/>
    <mergeCell ref="V4:Y4"/>
    <mergeCell ref="Z4:AB4"/>
    <mergeCell ref="A36:G36"/>
    <mergeCell ref="A40:M40"/>
    <mergeCell ref="A48:M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4" min="3" style="1" width="11"/>
    <col collapsed="false" customWidth="true" hidden="false" outlineLevel="0" max="5" min="5" style="1" width="16"/>
    <col collapsed="false" customWidth="true" hidden="false" outlineLevel="0" max="6" min="6" style="1" width="10"/>
    <col collapsed="false" customWidth="true" hidden="false" outlineLevel="0" max="7" min="7" style="1" width="12"/>
    <col collapsed="false" customWidth="true" hidden="false" outlineLevel="0" max="8" min="8" style="1" width="11"/>
    <col collapsed="false" customWidth="true" hidden="false" outlineLevel="0" max="10" min="9" style="1" width="8"/>
    <col collapsed="false" customWidth="true" hidden="false" outlineLevel="0" max="11" min="11" style="1" width="11"/>
    <col collapsed="false" customWidth="true" hidden="false" outlineLevel="0" max="13" min="12" style="1" width="8"/>
    <col collapsed="false" customWidth="true" hidden="false" outlineLevel="0" max="14" min="14" style="1" width="13"/>
    <col collapsed="false" customWidth="true" hidden="false" outlineLevel="0" max="16" min="15" style="1" width="8"/>
    <col collapsed="false" customWidth="true" hidden="false" outlineLevel="0" max="17" min="17" style="1" width="11"/>
    <col collapsed="false" customWidth="true" hidden="false" outlineLevel="0" max="19" min="18" style="1" width="8"/>
    <col collapsed="false" customWidth="true" hidden="false" outlineLevel="0" max="20" min="20" style="1" width="11"/>
    <col collapsed="false" customWidth="true" hidden="false" outlineLevel="0" max="22" min="21" style="1" width="8"/>
    <col collapsed="false" customWidth="true" hidden="false" outlineLevel="0" max="23" min="23" style="1" width="11"/>
    <col collapsed="false" customWidth="true" hidden="false" outlineLevel="0" max="25" min="24" style="1" width="8"/>
    <col collapsed="false" customWidth="true" hidden="false" outlineLevel="0" max="26" min="26" style="1" width="11"/>
    <col collapsed="false" customWidth="true" hidden="false" outlineLevel="0" max="28" min="27" style="1" width="8"/>
    <col collapsed="false" customWidth="true" hidden="false" outlineLevel="0" max="29" min="29" style="1" width="11"/>
    <col collapsed="false" customWidth="true" hidden="false" outlineLevel="0" max="31" min="30" style="1" width="8"/>
    <col collapsed="false" customWidth="true" hidden="false" outlineLevel="0" max="32" min="32" style="1" width="11"/>
    <col collapsed="false" customWidth="true" hidden="false" outlineLevel="0" max="34" min="33" style="1" width="8"/>
    <col collapsed="false" customWidth="true" hidden="false" outlineLevel="0" max="35" min="35" style="1" width="11"/>
    <col collapsed="false" customWidth="true" hidden="false" outlineLevel="0" max="37" min="36" style="1" width="8"/>
    <col collapsed="false" customWidth="true" hidden="false" outlineLevel="0" max="38" min="38" style="1" width="11"/>
    <col collapsed="false" customWidth="true" hidden="false" outlineLevel="0" max="40" min="39" style="1" width="8"/>
    <col collapsed="false" customWidth="true" hidden="false" outlineLevel="0" max="41" min="41" style="1" width="11"/>
    <col collapsed="false" customWidth="true" hidden="false" outlineLevel="0" max="43" min="42" style="1" width="8"/>
    <col collapsed="false" customWidth="true" hidden="false" outlineLevel="0" max="44" min="44" style="1" width="11"/>
    <col collapsed="false" customWidth="true" hidden="false" outlineLevel="0" max="46" min="45" style="1" width="8"/>
    <col collapsed="false" customWidth="true" hidden="false" outlineLevel="0" max="47" min="47" style="1" width="11"/>
    <col collapsed="false" customWidth="true" hidden="false" outlineLevel="0" max="50" min="48" style="1" width="14"/>
    <col collapsed="false" customWidth="true" hidden="false" outlineLevel="0" max="51" min="51" style="1" width="9"/>
    <col collapsed="false" customWidth="true" hidden="false" outlineLevel="0" max="52" min="52" style="1" width="12"/>
    <col collapsed="false" customWidth="true" hidden="false" outlineLevel="0" max="53" min="53" style="1" width="20"/>
    <col collapsed="false" customWidth="true" hidden="false" outlineLevel="0" max="54" min="54" style="1" width="28"/>
  </cols>
  <sheetData>
    <row r="1" customFormat="false" ht="21.75" hidden="false" customHeight="true" outlineLevel="0" collapsed="false">
      <c r="A1" s="66" t="s">
        <v>319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row>
    <row r="2" customFormat="false" ht="12.75" hidden="false" customHeight="true" outlineLevel="0" collapsed="false">
      <c r="A2" s="82" t="s">
        <v>320</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row>
    <row r="3" customFormat="false" ht="12.75" hidden="false" customHeight="true" outlineLevel="0" collapsed="false">
      <c r="A3" s="83" t="s">
        <v>249</v>
      </c>
      <c r="B3" s="84" t="s">
        <v>321</v>
      </c>
      <c r="C3" s="85" t="s">
        <v>322</v>
      </c>
      <c r="D3" s="86" t="s">
        <v>323</v>
      </c>
      <c r="E3" s="87" t="s">
        <v>324</v>
      </c>
      <c r="AV3" s="88"/>
      <c r="AW3" s="89"/>
    </row>
    <row r="4" customFormat="false" ht="12.75" hidden="false" customHeight="true" outlineLevel="0" collapsed="false">
      <c r="A4" s="90" t="s">
        <v>252</v>
      </c>
      <c r="B4" s="90"/>
      <c r="C4" s="90" t="s">
        <v>253</v>
      </c>
      <c r="D4" s="90"/>
      <c r="E4" s="90" t="s">
        <v>254</v>
      </c>
      <c r="F4" s="90"/>
      <c r="G4" s="90"/>
      <c r="H4" s="91" t="s">
        <v>325</v>
      </c>
      <c r="I4" s="91"/>
      <c r="J4" s="91"/>
      <c r="K4" s="91" t="s">
        <v>326</v>
      </c>
      <c r="L4" s="91"/>
      <c r="M4" s="91"/>
      <c r="N4" s="91" t="s">
        <v>327</v>
      </c>
      <c r="O4" s="91"/>
      <c r="P4" s="91"/>
      <c r="Q4" s="91" t="s">
        <v>328</v>
      </c>
      <c r="R4" s="91"/>
      <c r="S4" s="91"/>
      <c r="T4" s="91" t="s">
        <v>329</v>
      </c>
      <c r="U4" s="91"/>
      <c r="V4" s="91"/>
      <c r="W4" s="91" t="s">
        <v>330</v>
      </c>
      <c r="X4" s="91"/>
      <c r="Y4" s="91"/>
      <c r="Z4" s="91" t="s">
        <v>331</v>
      </c>
      <c r="AA4" s="91"/>
      <c r="AB4" s="91"/>
      <c r="AC4" s="91" t="s">
        <v>332</v>
      </c>
      <c r="AD4" s="91"/>
      <c r="AE4" s="91"/>
      <c r="AF4" s="91" t="s">
        <v>333</v>
      </c>
      <c r="AG4" s="91"/>
      <c r="AH4" s="91"/>
      <c r="AI4" s="91" t="s">
        <v>334</v>
      </c>
      <c r="AJ4" s="91"/>
      <c r="AK4" s="91"/>
      <c r="AL4" s="91" t="s">
        <v>335</v>
      </c>
      <c r="AM4" s="91"/>
      <c r="AN4" s="91"/>
      <c r="AO4" s="91" t="s">
        <v>336</v>
      </c>
      <c r="AP4" s="91"/>
      <c r="AQ4" s="91"/>
      <c r="AR4" s="91" t="s">
        <v>337</v>
      </c>
      <c r="AS4" s="91"/>
      <c r="AT4" s="91"/>
      <c r="AU4" s="92" t="s">
        <v>338</v>
      </c>
      <c r="AV4" s="88"/>
      <c r="AW4" s="89"/>
    </row>
    <row r="5" customFormat="false" ht="39.75" hidden="false" customHeight="true" outlineLevel="0" collapsed="false">
      <c r="A5" s="93" t="s">
        <v>258</v>
      </c>
      <c r="B5" s="93" t="s">
        <v>259</v>
      </c>
      <c r="C5" s="93" t="s">
        <v>260</v>
      </c>
      <c r="D5" s="93" t="s">
        <v>261</v>
      </c>
      <c r="E5" s="93" t="s">
        <v>262</v>
      </c>
      <c r="F5" s="93" t="s">
        <v>263</v>
      </c>
      <c r="G5" s="93" t="s">
        <v>264</v>
      </c>
      <c r="H5" s="93" t="s">
        <v>3</v>
      </c>
      <c r="I5" s="93" t="s">
        <v>339</v>
      </c>
      <c r="J5" s="93" t="s">
        <v>340</v>
      </c>
      <c r="K5" s="93" t="s">
        <v>265</v>
      </c>
      <c r="L5" s="93" t="s">
        <v>339</v>
      </c>
      <c r="M5" s="93" t="s">
        <v>340</v>
      </c>
      <c r="N5" s="93" t="s">
        <v>341</v>
      </c>
      <c r="O5" s="93" t="s">
        <v>339</v>
      </c>
      <c r="P5" s="93" t="s">
        <v>340</v>
      </c>
      <c r="Q5" s="93" t="s">
        <v>267</v>
      </c>
      <c r="R5" s="93" t="s">
        <v>339</v>
      </c>
      <c r="S5" s="93" t="s">
        <v>340</v>
      </c>
      <c r="T5" s="93" t="s">
        <v>342</v>
      </c>
      <c r="U5" s="93" t="s">
        <v>339</v>
      </c>
      <c r="V5" s="93" t="s">
        <v>340</v>
      </c>
      <c r="W5" s="93" t="s">
        <v>269</v>
      </c>
      <c r="X5" s="93" t="s">
        <v>339</v>
      </c>
      <c r="Y5" s="93" t="s">
        <v>340</v>
      </c>
      <c r="Z5" s="93" t="s">
        <v>270</v>
      </c>
      <c r="AA5" s="93" t="s">
        <v>339</v>
      </c>
      <c r="AB5" s="93" t="s">
        <v>340</v>
      </c>
      <c r="AC5" s="93" t="s">
        <v>271</v>
      </c>
      <c r="AD5" s="93" t="s">
        <v>339</v>
      </c>
      <c r="AE5" s="93" t="s">
        <v>340</v>
      </c>
      <c r="AF5" s="93" t="s">
        <v>343</v>
      </c>
      <c r="AG5" s="93" t="s">
        <v>339</v>
      </c>
      <c r="AH5" s="93" t="s">
        <v>340</v>
      </c>
      <c r="AI5" s="93" t="s">
        <v>344</v>
      </c>
      <c r="AJ5" s="93" t="s">
        <v>339</v>
      </c>
      <c r="AK5" s="93" t="s">
        <v>340</v>
      </c>
      <c r="AL5" s="93" t="s">
        <v>345</v>
      </c>
      <c r="AM5" s="93" t="s">
        <v>339</v>
      </c>
      <c r="AN5" s="93" t="s">
        <v>340</v>
      </c>
      <c r="AO5" s="93" t="s">
        <v>346</v>
      </c>
      <c r="AP5" s="93" t="s">
        <v>339</v>
      </c>
      <c r="AQ5" s="93" t="s">
        <v>340</v>
      </c>
      <c r="AR5" s="93" t="s">
        <v>276</v>
      </c>
      <c r="AS5" s="93" t="s">
        <v>339</v>
      </c>
      <c r="AT5" s="93" t="s">
        <v>340</v>
      </c>
      <c r="AU5" s="93" t="s">
        <v>347</v>
      </c>
      <c r="AV5" s="94" t="s">
        <v>348</v>
      </c>
      <c r="AW5" s="94" t="s">
        <v>349</v>
      </c>
      <c r="AX5" s="94" t="s">
        <v>279</v>
      </c>
      <c r="AY5" s="94" t="s">
        <v>280</v>
      </c>
      <c r="AZ5" s="94" t="s">
        <v>281</v>
      </c>
      <c r="BA5" s="93" t="s">
        <v>350</v>
      </c>
      <c r="BB5" s="93" t="s">
        <v>283</v>
      </c>
      <c r="BC5" s="93" t="s">
        <v>7</v>
      </c>
    </row>
    <row r="6" customFormat="false" ht="19.5" hidden="false" customHeight="true" outlineLevel="0" collapsed="false">
      <c r="A6" s="95" t="n">
        <v>1</v>
      </c>
      <c r="B6" s="96" t="s">
        <v>284</v>
      </c>
      <c r="C6" s="97" t="s">
        <v>285</v>
      </c>
      <c r="D6" s="97" t="s">
        <v>286</v>
      </c>
      <c r="E6" s="98" t="s">
        <v>287</v>
      </c>
      <c r="F6" s="99" t="s">
        <v>288</v>
      </c>
      <c r="G6" s="98" t="s">
        <v>220</v>
      </c>
      <c r="H6" s="99" t="n">
        <v>1356</v>
      </c>
      <c r="I6" s="100"/>
      <c r="J6" s="101"/>
      <c r="K6" s="99" t="n">
        <v>650</v>
      </c>
      <c r="L6" s="100" t="n">
        <v>53.72</v>
      </c>
      <c r="M6" s="101"/>
      <c r="N6" s="99" t="n">
        <v>1439.99</v>
      </c>
      <c r="O6" s="100" t="n">
        <v>22.99</v>
      </c>
      <c r="P6" s="101"/>
      <c r="Q6" s="99" t="n">
        <v>195.49</v>
      </c>
      <c r="R6" s="100" t="n">
        <v>5</v>
      </c>
      <c r="S6" s="101"/>
      <c r="T6" s="99" t="n">
        <v>138.75</v>
      </c>
      <c r="U6" s="100" t="n">
        <v>4</v>
      </c>
      <c r="V6" s="101"/>
      <c r="W6" s="99" t="n">
        <v>1890</v>
      </c>
      <c r="X6" s="100" t="n">
        <v>105.38</v>
      </c>
      <c r="Y6" s="101"/>
      <c r="Z6" s="99" t="n">
        <v>138</v>
      </c>
      <c r="AA6" s="100"/>
      <c r="AB6" s="101" t="n">
        <v>13.72</v>
      </c>
      <c r="AC6" s="99" t="n">
        <v>269.99</v>
      </c>
      <c r="AD6" s="100" t="n">
        <v>6.66</v>
      </c>
      <c r="AE6" s="101" t="n">
        <v>12.31</v>
      </c>
      <c r="AF6" s="99"/>
      <c r="AG6" s="100"/>
      <c r="AH6" s="101"/>
      <c r="AI6" s="99" t="n">
        <v>44.99</v>
      </c>
      <c r="AJ6" s="100"/>
      <c r="AK6" s="101"/>
      <c r="AL6" s="99" t="n">
        <v>31.49</v>
      </c>
      <c r="AM6" s="100" t="n">
        <v>4</v>
      </c>
      <c r="AN6" s="101" t="n">
        <v>1.58</v>
      </c>
      <c r="AO6" s="99" t="n">
        <v>290</v>
      </c>
      <c r="AP6" s="100" t="n">
        <v>10.36</v>
      </c>
      <c r="AQ6" s="101"/>
      <c r="AR6" s="99"/>
      <c r="AS6" s="100"/>
      <c r="AT6" s="101"/>
      <c r="AU6" s="99"/>
      <c r="AV6" s="102" t="n">
        <f aca="false">IFERROR(IFERROR(H6,0)+IFERROR(K6,0)+IFERROR(N6,0)+IFERROR(Q6,0)+IFERROR(T6,0)+IFERROR(W6,0)+IFERROR(Z6,0)+IFERROR(AC6,0)+IFERROR(AF6,0)+IFERROR(AI6,0)+IFERROR(AL6,0)+IFERROR(AO6,0)+IFERROR(AR6,0)+IFERROR(AU6,0),0)</f>
        <v>6444.7</v>
      </c>
      <c r="AW6" s="103" t="n">
        <f aca="false">SUM(H6:AU6)</f>
        <v>6684.42</v>
      </c>
      <c r="AX6" s="99" t="n">
        <v>7500</v>
      </c>
      <c r="AY6" s="104" t="n">
        <f aca="false">IF(AX6="","-",AX6-AW6)</f>
        <v>815.58</v>
      </c>
      <c r="AZ6" s="105" t="n">
        <f aca="false">IF(OR(AX6="",AX6=0),"-",(AX6-AW6)/AX6)</f>
        <v>0.108744</v>
      </c>
      <c r="BA6" s="99"/>
      <c r="BB6" s="106" t="s">
        <v>351</v>
      </c>
      <c r="BC6" s="107" t="s">
        <v>352</v>
      </c>
    </row>
    <row r="7" customFormat="false" ht="19.5" hidden="false" customHeight="true" outlineLevel="0" collapsed="false">
      <c r="A7" s="95" t="n">
        <v>2</v>
      </c>
      <c r="B7" s="96" t="s">
        <v>291</v>
      </c>
      <c r="C7" s="97" t="s">
        <v>292</v>
      </c>
      <c r="D7" s="97"/>
      <c r="E7" s="98" t="s">
        <v>293</v>
      </c>
      <c r="F7" s="99" t="s">
        <v>288</v>
      </c>
      <c r="G7" s="98" t="s">
        <v>220</v>
      </c>
      <c r="H7" s="99" t="n">
        <v>1356</v>
      </c>
      <c r="I7" s="100"/>
      <c r="J7" s="101"/>
      <c r="K7" s="99" t="n">
        <v>650</v>
      </c>
      <c r="L7" s="100" t="n">
        <v>53.72</v>
      </c>
      <c r="M7" s="101"/>
      <c r="N7" s="99" t="n">
        <v>1083.71</v>
      </c>
      <c r="O7" s="100" t="n">
        <v>22.79</v>
      </c>
      <c r="P7" s="101"/>
      <c r="Q7" s="99" t="n">
        <v>195.49</v>
      </c>
      <c r="R7" s="100" t="n">
        <v>5</v>
      </c>
      <c r="S7" s="101"/>
      <c r="T7" s="99" t="n">
        <v>138.75</v>
      </c>
      <c r="U7" s="100" t="n">
        <v>4</v>
      </c>
      <c r="V7" s="101"/>
      <c r="W7" s="99" t="n">
        <v>1890</v>
      </c>
      <c r="X7" s="100" t="n">
        <v>105.38</v>
      </c>
      <c r="Y7" s="101"/>
      <c r="Z7" s="99" t="n">
        <v>138</v>
      </c>
      <c r="AA7" s="100"/>
      <c r="AB7" s="101" t="n">
        <v>13.72</v>
      </c>
      <c r="AC7" s="99" t="n">
        <v>269.99</v>
      </c>
      <c r="AD7" s="100" t="n">
        <v>6.66</v>
      </c>
      <c r="AE7" s="101" t="n">
        <v>12.31</v>
      </c>
      <c r="AF7" s="99" t="n">
        <v>163</v>
      </c>
      <c r="AG7" s="100"/>
      <c r="AH7" s="101" t="n">
        <v>16.31</v>
      </c>
      <c r="AI7" s="99" t="n">
        <v>91</v>
      </c>
      <c r="AJ7" s="100"/>
      <c r="AK7" s="101" t="n">
        <v>9.64</v>
      </c>
      <c r="AL7" s="99"/>
      <c r="AM7" s="100"/>
      <c r="AN7" s="101"/>
      <c r="AO7" s="99" t="n">
        <v>365</v>
      </c>
      <c r="AP7" s="100" t="n">
        <v>7.52</v>
      </c>
      <c r="AQ7" s="101"/>
      <c r="AR7" s="99" t="n">
        <v>645.95</v>
      </c>
      <c r="AS7" s="100"/>
      <c r="AT7" s="101"/>
      <c r="AU7" s="99"/>
      <c r="AV7" s="102" t="n">
        <f aca="false">IFERROR(IFERROR(H7,0)+IFERROR(K7,0)+IFERROR(N7,0)+IFERROR(Q7,0)+IFERROR(T7,0)+IFERROR(W7,0)+IFERROR(Z7,0)+IFERROR(AC7,0)+IFERROR(AF7,0)+IFERROR(AI7,0)+IFERROR(AL7,0)+IFERROR(AO7,0)+IFERROR(AR7,0)+IFERROR(AU7,0),0)</f>
        <v>6986.89</v>
      </c>
      <c r="AW7" s="103" t="n">
        <f aca="false">SUM(H7:AU7)</f>
        <v>7243.94</v>
      </c>
      <c r="AX7" s="99" t="n">
        <v>10700</v>
      </c>
      <c r="AY7" s="104" t="n">
        <f aca="false">IF(AX7="","-",AX7-AW7)</f>
        <v>3456.06</v>
      </c>
      <c r="AZ7" s="105" t="n">
        <f aca="false">IF(OR(AX7="",AX7=0),"-",(AX7-AW7)/AX7)</f>
        <v>0.322996261682243</v>
      </c>
      <c r="BA7" s="99"/>
      <c r="BB7" s="106" t="s">
        <v>351</v>
      </c>
      <c r="BC7" s="107" t="s">
        <v>353</v>
      </c>
    </row>
    <row r="8" customFormat="false" ht="19.5" hidden="false" customHeight="true" outlineLevel="0" collapsed="false">
      <c r="A8" s="95" t="n">
        <v>3</v>
      </c>
      <c r="B8" s="96" t="s">
        <v>295</v>
      </c>
      <c r="C8" s="97" t="s">
        <v>292</v>
      </c>
      <c r="D8" s="97"/>
      <c r="E8" s="98" t="s">
        <v>296</v>
      </c>
      <c r="F8" s="99" t="s">
        <v>288</v>
      </c>
      <c r="G8" s="98" t="s">
        <v>220</v>
      </c>
      <c r="H8" s="99" t="n">
        <v>1356</v>
      </c>
      <c r="I8" s="100"/>
      <c r="J8" s="101"/>
      <c r="K8" s="99" t="n">
        <v>650</v>
      </c>
      <c r="L8" s="100"/>
      <c r="M8" s="101"/>
      <c r="N8" s="99" t="n">
        <v>1529.07</v>
      </c>
      <c r="O8" s="100" t="n">
        <v>32.16</v>
      </c>
      <c r="P8" s="101"/>
      <c r="Q8" s="99" t="n">
        <v>195.49</v>
      </c>
      <c r="R8" s="100" t="n">
        <v>5</v>
      </c>
      <c r="S8" s="101"/>
      <c r="T8" s="99" t="n">
        <v>126</v>
      </c>
      <c r="U8" s="100"/>
      <c r="V8" s="101"/>
      <c r="W8" s="99" t="n">
        <v>1720</v>
      </c>
      <c r="X8" s="100" t="n">
        <v>105.38</v>
      </c>
      <c r="Y8" s="101"/>
      <c r="Z8" s="99" t="n">
        <v>138</v>
      </c>
      <c r="AA8" s="100"/>
      <c r="AB8" s="101" t="n">
        <v>13.72</v>
      </c>
      <c r="AC8" s="99" t="n">
        <v>269.99</v>
      </c>
      <c r="AD8" s="100" t="n">
        <v>6.66</v>
      </c>
      <c r="AE8" s="101" t="n">
        <v>12.31</v>
      </c>
      <c r="AF8" s="99" t="n">
        <v>163</v>
      </c>
      <c r="AG8" s="100"/>
      <c r="AH8" s="101" t="n">
        <v>16.31</v>
      </c>
      <c r="AI8" s="99" t="n">
        <v>91</v>
      </c>
      <c r="AJ8" s="100"/>
      <c r="AK8" s="101" t="n">
        <v>9.64</v>
      </c>
      <c r="AL8" s="99"/>
      <c r="AM8" s="100"/>
      <c r="AN8" s="101"/>
      <c r="AO8" s="99" t="n">
        <v>365</v>
      </c>
      <c r="AP8" s="100" t="n">
        <v>7.52</v>
      </c>
      <c r="AQ8" s="101"/>
      <c r="AR8" s="99" t="n">
        <v>645.95</v>
      </c>
      <c r="AS8" s="100"/>
      <c r="AT8" s="101"/>
      <c r="AU8" s="99"/>
      <c r="AV8" s="102" t="n">
        <f aca="false">IFERROR(IFERROR(H8,0)+IFERROR(K8,0)+IFERROR(N8,0)+IFERROR(Q8,0)+IFERROR(T8,0)+IFERROR(W8,0)+IFERROR(Z8,0)+IFERROR(AC8,0)+IFERROR(AF8,0)+IFERROR(AI8,0)+IFERROR(AL8,0)+IFERROR(AO8,0)+IFERROR(AR8,0)+IFERROR(AU8,0),0)</f>
        <v>7249.5</v>
      </c>
      <c r="AW8" s="103" t="n">
        <f aca="false">SUM(H8:AU8)</f>
        <v>7458.2</v>
      </c>
      <c r="AX8" s="99" t="n">
        <v>9900</v>
      </c>
      <c r="AY8" s="104" t="n">
        <f aca="false">IF(AX8="","-",AX8-AW8)</f>
        <v>2441.8</v>
      </c>
      <c r="AZ8" s="105" t="n">
        <f aca="false">IF(OR(AX8="",AX8=0),"-",(AX8-AW8)/AX8)</f>
        <v>0.246646464646465</v>
      </c>
      <c r="BA8" s="99"/>
      <c r="BB8" s="106" t="s">
        <v>351</v>
      </c>
      <c r="BC8" s="107" t="s">
        <v>354</v>
      </c>
    </row>
    <row r="9" customFormat="false" ht="19.5" hidden="false" customHeight="true" outlineLevel="0" collapsed="false">
      <c r="A9" s="95" t="n">
        <v>4</v>
      </c>
      <c r="B9" s="96" t="s">
        <v>298</v>
      </c>
      <c r="C9" s="97" t="s">
        <v>285</v>
      </c>
      <c r="D9" s="97"/>
      <c r="E9" s="98" t="s">
        <v>287</v>
      </c>
      <c r="F9" s="99" t="s">
        <v>288</v>
      </c>
      <c r="G9" s="98" t="s">
        <v>220</v>
      </c>
      <c r="H9" s="99" t="n">
        <v>1356</v>
      </c>
      <c r="I9" s="100"/>
      <c r="J9" s="101"/>
      <c r="K9" s="99" t="n">
        <v>650</v>
      </c>
      <c r="L9" s="100"/>
      <c r="M9" s="101"/>
      <c r="N9" s="99" t="n">
        <v>1439.99</v>
      </c>
      <c r="O9" s="100" t="n">
        <v>21.57</v>
      </c>
      <c r="P9" s="101" t="n">
        <v>68.6</v>
      </c>
      <c r="Q9" s="99" t="n">
        <v>195.49</v>
      </c>
      <c r="R9" s="100" t="n">
        <v>5</v>
      </c>
      <c r="S9" s="101"/>
      <c r="T9" s="99" t="n">
        <v>126</v>
      </c>
      <c r="U9" s="100"/>
      <c r="V9" s="101"/>
      <c r="W9" s="99"/>
      <c r="X9" s="100"/>
      <c r="Y9" s="101"/>
      <c r="Z9" s="99"/>
      <c r="AA9" s="100"/>
      <c r="AB9" s="101"/>
      <c r="AC9" s="99" t="n">
        <v>269.99</v>
      </c>
      <c r="AD9" s="100" t="n">
        <v>6.66</v>
      </c>
      <c r="AE9" s="101" t="n">
        <v>12.31</v>
      </c>
      <c r="AF9" s="99"/>
      <c r="AG9" s="100"/>
      <c r="AH9" s="101"/>
      <c r="AI9" s="99" t="n">
        <v>44.99</v>
      </c>
      <c r="AJ9" s="100" t="n">
        <v>0.71</v>
      </c>
      <c r="AK9" s="101" t="n">
        <v>2.25</v>
      </c>
      <c r="AL9" s="99" t="n">
        <v>31.49</v>
      </c>
      <c r="AM9" s="100" t="n">
        <v>4</v>
      </c>
      <c r="AN9" s="101" t="n">
        <v>1.58</v>
      </c>
      <c r="AO9" s="99" t="n">
        <v>290</v>
      </c>
      <c r="AP9" s="100" t="n">
        <v>10.36</v>
      </c>
      <c r="AQ9" s="101"/>
      <c r="AR9" s="99" t="n">
        <v>645.95</v>
      </c>
      <c r="AS9" s="100"/>
      <c r="AT9" s="101"/>
      <c r="AU9" s="99"/>
      <c r="AV9" s="102" t="n">
        <f aca="false">IFERROR(IFERROR(H9,0)+IFERROR(K9,0)+IFERROR(N9,0)+IFERROR(Q9,0)+IFERROR(T9,0)+IFERROR(W9,0)+IFERROR(Z9,0)+IFERROR(AC9,0)+IFERROR(AF9,0)+IFERROR(AI9,0)+IFERROR(AL9,0)+IFERROR(AO9,0)+IFERROR(AR9,0)+IFERROR(AU9,0),0)</f>
        <v>5049.9</v>
      </c>
      <c r="AW9" s="103" t="n">
        <f aca="false">SUM(H9:AU9)</f>
        <v>5182.94</v>
      </c>
      <c r="AX9" s="99" t="n">
        <v>6400</v>
      </c>
      <c r="AY9" s="104" t="n">
        <f aca="false">IF(AX9="","-",AX9-AW9)</f>
        <v>1217.06</v>
      </c>
      <c r="AZ9" s="105" t="n">
        <f aca="false">IF(OR(AX9="",AX9=0),"-",(AX9-AW9)/AX9)</f>
        <v>0.190165625</v>
      </c>
      <c r="BA9" s="99"/>
      <c r="BB9" s="106" t="s">
        <v>351</v>
      </c>
      <c r="BC9" s="107" t="s">
        <v>355</v>
      </c>
    </row>
    <row r="10" customFormat="false" ht="19.5" hidden="false" customHeight="true" outlineLevel="0" collapsed="false">
      <c r="A10" s="108" t="n">
        <v>5</v>
      </c>
      <c r="B10" s="109" t="s">
        <v>300</v>
      </c>
      <c r="C10" s="110" t="s">
        <v>301</v>
      </c>
      <c r="D10" s="110"/>
      <c r="E10" s="109" t="s">
        <v>296</v>
      </c>
      <c r="F10" s="111" t="s">
        <v>288</v>
      </c>
      <c r="G10" s="112" t="s">
        <v>160</v>
      </c>
      <c r="H10" s="111" t="n">
        <v>734</v>
      </c>
      <c r="I10" s="111"/>
      <c r="J10" s="111"/>
      <c r="K10" s="111" t="n">
        <v>625</v>
      </c>
      <c r="L10" s="111"/>
      <c r="M10" s="111"/>
      <c r="N10" s="111" t="n">
        <v>1529.07</v>
      </c>
      <c r="O10" s="111" t="n">
        <v>32.16</v>
      </c>
      <c r="P10" s="111"/>
      <c r="Q10" s="111" t="n">
        <v>195.49</v>
      </c>
      <c r="R10" s="111" t="n">
        <v>5</v>
      </c>
      <c r="S10" s="111"/>
      <c r="T10" s="111" t="n">
        <v>126</v>
      </c>
      <c r="U10" s="111"/>
      <c r="V10" s="111"/>
      <c r="W10" s="111"/>
      <c r="X10" s="111"/>
      <c r="Y10" s="111"/>
      <c r="Z10" s="111" t="n">
        <v>138</v>
      </c>
      <c r="AA10" s="111"/>
      <c r="AB10" s="111" t="n">
        <v>13.72</v>
      </c>
      <c r="AC10" s="111" t="n">
        <v>269.99</v>
      </c>
      <c r="AD10" s="111" t="n">
        <v>6.66</v>
      </c>
      <c r="AE10" s="111" t="n">
        <v>12.31</v>
      </c>
      <c r="AF10" s="111" t="n">
        <v>163</v>
      </c>
      <c r="AG10" s="111"/>
      <c r="AH10" s="111" t="n">
        <v>16.31</v>
      </c>
      <c r="AI10" s="111" t="n">
        <v>91</v>
      </c>
      <c r="AJ10" s="111"/>
      <c r="AK10" s="111" t="n">
        <v>9.64</v>
      </c>
      <c r="AL10" s="111"/>
      <c r="AM10" s="111"/>
      <c r="AN10" s="111"/>
      <c r="AO10" s="111" t="n">
        <v>365</v>
      </c>
      <c r="AP10" s="111" t="n">
        <v>7.52</v>
      </c>
      <c r="AQ10" s="111"/>
      <c r="AR10" s="111" t="n">
        <v>645.95</v>
      </c>
      <c r="AS10" s="111"/>
      <c r="AT10" s="111"/>
      <c r="AU10" s="111"/>
      <c r="AV10" s="113" t="n">
        <f aca="false">IFERROR(IFERROR(H10,0)+IFERROR(K10,0)+IFERROR(N10,0)+IFERROR(Q10,0)+IFERROR(T10,0)+IFERROR(W10,0)+IFERROR(Z10,0)+IFERROR(AC10,0)+IFERROR(AF10,0)+IFERROR(AI10,0)+IFERROR(AL10,0)+IFERROR(AO10,0)+IFERROR(AR10,0)+IFERROR(AU10,0),0)</f>
        <v>4882.5</v>
      </c>
      <c r="AW10" s="113" t="n">
        <f aca="false">SUM(H10:AU10)</f>
        <v>4985.82</v>
      </c>
      <c r="AX10" s="111" t="n">
        <v>7715.95</v>
      </c>
      <c r="AY10" s="113" t="n">
        <f aca="false">IF(AX10="","-",AX10-AW10)</f>
        <v>2730.13</v>
      </c>
      <c r="AZ10" s="114" t="n">
        <f aca="false">IF(OR(AX10="",AX10=0),"-",(AX10-AW10)/AX10)</f>
        <v>0.353829405322741</v>
      </c>
      <c r="BA10" s="111"/>
      <c r="BB10" s="112" t="s">
        <v>289</v>
      </c>
      <c r="BC10" s="112" t="s">
        <v>302</v>
      </c>
    </row>
    <row r="11" customFormat="false" ht="19.5" hidden="false" customHeight="true" outlineLevel="0" collapsed="false">
      <c r="A11" s="108" t="n">
        <v>6</v>
      </c>
      <c r="B11" s="109" t="s">
        <v>303</v>
      </c>
      <c r="C11" s="110" t="s">
        <v>301</v>
      </c>
      <c r="D11" s="110"/>
      <c r="E11" s="109" t="s">
        <v>296</v>
      </c>
      <c r="F11" s="111" t="s">
        <v>288</v>
      </c>
      <c r="G11" s="112" t="s">
        <v>160</v>
      </c>
      <c r="H11" s="111" t="n">
        <v>734</v>
      </c>
      <c r="I11" s="111"/>
      <c r="J11" s="111"/>
      <c r="K11" s="111" t="n">
        <v>625</v>
      </c>
      <c r="L11" s="111"/>
      <c r="M11" s="111"/>
      <c r="N11" s="111" t="n">
        <v>1529.07</v>
      </c>
      <c r="O11" s="111" t="n">
        <v>32.16</v>
      </c>
      <c r="P11" s="111"/>
      <c r="Q11" s="111" t="n">
        <v>195.49</v>
      </c>
      <c r="R11" s="111" t="n">
        <v>5</v>
      </c>
      <c r="S11" s="111"/>
      <c r="T11" s="111" t="n">
        <v>126</v>
      </c>
      <c r="U11" s="111"/>
      <c r="V11" s="111"/>
      <c r="W11" s="111"/>
      <c r="X11" s="111"/>
      <c r="Y11" s="111"/>
      <c r="Z11" s="111"/>
      <c r="AA11" s="111"/>
      <c r="AB11" s="111"/>
      <c r="AC11" s="111" t="n">
        <v>269.99</v>
      </c>
      <c r="AD11" s="111" t="n">
        <v>6.66</v>
      </c>
      <c r="AE11" s="111" t="n">
        <v>12.31</v>
      </c>
      <c r="AF11" s="111" t="n">
        <v>163</v>
      </c>
      <c r="AG11" s="111"/>
      <c r="AH11" s="111" t="n">
        <v>16.31</v>
      </c>
      <c r="AI11" s="111" t="n">
        <v>91</v>
      </c>
      <c r="AJ11" s="111"/>
      <c r="AK11" s="111" t="n">
        <v>9.64</v>
      </c>
      <c r="AL11" s="111"/>
      <c r="AM11" s="111"/>
      <c r="AN11" s="111"/>
      <c r="AO11" s="111" t="n">
        <v>365</v>
      </c>
      <c r="AP11" s="111" t="n">
        <v>7.52</v>
      </c>
      <c r="AQ11" s="111"/>
      <c r="AR11" s="111"/>
      <c r="AS11" s="111"/>
      <c r="AT11" s="111"/>
      <c r="AU11" s="111"/>
      <c r="AV11" s="113" t="n">
        <f aca="false">IFERROR(IFERROR(H11,0)+IFERROR(K11,0)+IFERROR(N11,0)+IFERROR(Q11,0)+IFERROR(T11,0)+IFERROR(W11,0)+IFERROR(Z11,0)+IFERROR(AC11,0)+IFERROR(AF11,0)+IFERROR(AI11,0)+IFERROR(AL11,0)+IFERROR(AO11,0)+IFERROR(AR11,0)+IFERROR(AU11,0),0)</f>
        <v>4098.55</v>
      </c>
      <c r="AW11" s="113" t="n">
        <f aca="false">SUM(H11:AU11)</f>
        <v>4188.15</v>
      </c>
      <c r="AX11" s="111" t="n">
        <v>5603</v>
      </c>
      <c r="AY11" s="113" t="n">
        <f aca="false">IF(AX11="","-",AX11-AW11)</f>
        <v>1414.85</v>
      </c>
      <c r="AZ11" s="114" t="n">
        <f aca="false">IF(OR(AX11="",AX11=0),"-",(AX11-AW11)/AX11)</f>
        <v>0.252516509013029</v>
      </c>
      <c r="BA11" s="111"/>
      <c r="BB11" s="112" t="s">
        <v>289</v>
      </c>
      <c r="BC11" s="112" t="s">
        <v>304</v>
      </c>
    </row>
    <row r="12" customFormat="false" ht="18" hidden="false" customHeight="true" outlineLevel="0" collapsed="false">
      <c r="A12" s="115" t="s">
        <v>356</v>
      </c>
      <c r="H12" s="116"/>
      <c r="I12" s="117" t="n">
        <f aca="false">IFERROR(SUM(I6:I9),0)</f>
        <v>0</v>
      </c>
      <c r="J12" s="116"/>
      <c r="K12" s="116"/>
      <c r="L12" s="117" t="n">
        <f aca="false">IFERROR(SUM(L6:L9),0)</f>
        <v>107.44</v>
      </c>
      <c r="M12" s="116"/>
      <c r="N12" s="116"/>
      <c r="O12" s="117" t="n">
        <f aca="false">IFERROR(SUM(O6:O9),0)</f>
        <v>99.51</v>
      </c>
      <c r="P12" s="116"/>
      <c r="Q12" s="116"/>
      <c r="R12" s="117" t="n">
        <f aca="false">IFERROR(SUM(R6:R9),0)</f>
        <v>20</v>
      </c>
      <c r="S12" s="116"/>
      <c r="T12" s="116"/>
      <c r="U12" s="117" t="n">
        <f aca="false">IFERROR(SUM(U6:U9),0)</f>
        <v>8</v>
      </c>
      <c r="V12" s="116"/>
      <c r="W12" s="116"/>
      <c r="X12" s="117" t="n">
        <f aca="false">IFERROR(SUM(X6:X9),0)</f>
        <v>316.14</v>
      </c>
      <c r="Y12" s="116"/>
      <c r="Z12" s="116"/>
      <c r="AA12" s="117" t="n">
        <f aca="false">IFERROR(SUM(AA6:AA9),0)</f>
        <v>0</v>
      </c>
      <c r="AB12" s="116"/>
      <c r="AC12" s="116"/>
      <c r="AD12" s="117" t="n">
        <f aca="false">IFERROR(SUM(AD6:AD9),0)</f>
        <v>26.64</v>
      </c>
      <c r="AE12" s="116"/>
      <c r="AF12" s="116"/>
      <c r="AG12" s="117" t="n">
        <f aca="false">IFERROR(SUM(AG6:AG9),0)</f>
        <v>0</v>
      </c>
      <c r="AH12" s="116"/>
      <c r="AI12" s="116"/>
      <c r="AJ12" s="117" t="n">
        <f aca="false">IFERROR(SUM(AJ6:AJ9),0)</f>
        <v>0.71</v>
      </c>
      <c r="AK12" s="116"/>
      <c r="AL12" s="116"/>
      <c r="AM12" s="117" t="n">
        <f aca="false">IFERROR(SUM(AM6:AM9),0)</f>
        <v>8</v>
      </c>
      <c r="AN12" s="116"/>
      <c r="AO12" s="116"/>
      <c r="AP12" s="117" t="n">
        <f aca="false">IFERROR(SUM(AP6:AP9),0)</f>
        <v>35.76</v>
      </c>
      <c r="AQ12" s="116"/>
      <c r="AR12" s="116"/>
      <c r="AS12" s="117" t="n">
        <f aca="false">IFERROR(SUM(AS6:AS9),0)</f>
        <v>0</v>
      </c>
      <c r="AT12" s="116"/>
      <c r="AU12" s="116"/>
      <c r="AV12" s="118" t="s">
        <v>357</v>
      </c>
      <c r="AW12" s="103" t="n">
        <f aca="false">SUM(H10:AU10)</f>
        <v>4985.82</v>
      </c>
    </row>
    <row r="13" customFormat="false" ht="18" hidden="false" customHeight="true" outlineLevel="0" collapsed="false">
      <c r="A13" s="119" t="s">
        <v>358</v>
      </c>
      <c r="H13" s="120"/>
      <c r="I13" s="120"/>
      <c r="J13" s="121" t="n">
        <f aca="false">IFERROR(SUM(J6:J9),0)</f>
        <v>0</v>
      </c>
      <c r="K13" s="120"/>
      <c r="L13" s="120"/>
      <c r="M13" s="121" t="n">
        <f aca="false">IFERROR(SUM(M6:M9),0)</f>
        <v>0</v>
      </c>
      <c r="N13" s="120"/>
      <c r="O13" s="120"/>
      <c r="P13" s="121" t="n">
        <f aca="false">IFERROR(SUM(P6:P9),0)</f>
        <v>68.6</v>
      </c>
      <c r="Q13" s="120"/>
      <c r="R13" s="120"/>
      <c r="S13" s="121" t="n">
        <f aca="false">IFERROR(SUM(S6:S9),0)</f>
        <v>0</v>
      </c>
      <c r="T13" s="120"/>
      <c r="U13" s="120"/>
      <c r="V13" s="121" t="n">
        <f aca="false">IFERROR(SUM(V6:V9),0)</f>
        <v>0</v>
      </c>
      <c r="W13" s="120"/>
      <c r="X13" s="120"/>
      <c r="Y13" s="121" t="n">
        <f aca="false">IFERROR(SUM(Y6:Y9),0)</f>
        <v>0</v>
      </c>
      <c r="Z13" s="120"/>
      <c r="AA13" s="120"/>
      <c r="AB13" s="121" t="n">
        <f aca="false">IFERROR(SUM(AB6:AB9),0)</f>
        <v>41.16</v>
      </c>
      <c r="AC13" s="120"/>
      <c r="AD13" s="120"/>
      <c r="AE13" s="121" t="n">
        <f aca="false">IFERROR(SUM(AE6:AE9),0)</f>
        <v>49.24</v>
      </c>
      <c r="AF13" s="120"/>
      <c r="AG13" s="120"/>
      <c r="AH13" s="121" t="n">
        <f aca="false">IFERROR(SUM(AH6:AH9),0)</f>
        <v>32.62</v>
      </c>
      <c r="AI13" s="120"/>
      <c r="AJ13" s="120"/>
      <c r="AK13" s="121" t="n">
        <f aca="false">IFERROR(SUM(AK6:AK9),0)</f>
        <v>21.53</v>
      </c>
      <c r="AL13" s="120"/>
      <c r="AM13" s="120"/>
      <c r="AN13" s="121" t="n">
        <f aca="false">IFERROR(SUM(AN6:AN9),0)</f>
        <v>3.16</v>
      </c>
      <c r="AO13" s="120"/>
      <c r="AP13" s="120"/>
      <c r="AQ13" s="121" t="n">
        <f aca="false">IFERROR(SUM(AQ6:AQ9),0)</f>
        <v>0</v>
      </c>
      <c r="AR13" s="120"/>
      <c r="AS13" s="120"/>
      <c r="AT13" s="121" t="n">
        <f aca="false">IFERROR(SUM(AT6:AT9),0)</f>
        <v>0</v>
      </c>
      <c r="AU13" s="120"/>
      <c r="AV13" s="122" t="s">
        <v>359</v>
      </c>
      <c r="AW13" s="103" t="n">
        <f aca="false">SUM(H11:AU11)</f>
        <v>4188.15</v>
      </c>
    </row>
    <row r="14" customFormat="false" ht="18" hidden="false" customHeight="true" outlineLevel="0" collapsed="false">
      <c r="A14" s="123" t="s">
        <v>356</v>
      </c>
      <c r="B14" s="124"/>
      <c r="C14" s="124"/>
      <c r="D14" s="124"/>
      <c r="E14" s="124"/>
      <c r="F14" s="124"/>
      <c r="G14" s="125"/>
      <c r="H14" s="126"/>
      <c r="I14" s="117" t="n">
        <f aca="false">IFERROR(SUM(I6:I9),0)</f>
        <v>0</v>
      </c>
      <c r="J14" s="126"/>
      <c r="K14" s="126"/>
      <c r="L14" s="117" t="n">
        <f aca="false">IFERROR(SUM(L6:L9),0)</f>
        <v>107.44</v>
      </c>
      <c r="M14" s="126"/>
      <c r="N14" s="126"/>
      <c r="O14" s="117" t="n">
        <f aca="false">IFERROR(SUM(O6:O9),0)</f>
        <v>99.51</v>
      </c>
      <c r="P14" s="126"/>
      <c r="Q14" s="126"/>
      <c r="R14" s="117" t="n">
        <f aca="false">IFERROR(SUM(R6:R9),0)</f>
        <v>20</v>
      </c>
      <c r="S14" s="126"/>
      <c r="T14" s="126"/>
      <c r="U14" s="117" t="n">
        <f aca="false">IFERROR(SUM(U6:U9),0)</f>
        <v>8</v>
      </c>
      <c r="V14" s="126"/>
      <c r="W14" s="126"/>
      <c r="X14" s="117" t="n">
        <f aca="false">IFERROR(SUM(X6:X9),0)</f>
        <v>316.14</v>
      </c>
      <c r="Y14" s="126"/>
      <c r="Z14" s="126"/>
      <c r="AA14" s="117" t="n">
        <f aca="false">IFERROR(SUM(AA6:AA9),0)</f>
        <v>0</v>
      </c>
      <c r="AB14" s="126"/>
      <c r="AC14" s="126"/>
      <c r="AD14" s="117" t="n">
        <f aca="false">IFERROR(SUM(AD6:AD9),0)</f>
        <v>26.64</v>
      </c>
      <c r="AE14" s="126"/>
      <c r="AF14" s="126"/>
      <c r="AG14" s="117" t="n">
        <f aca="false">IFERROR(SUM(AG6:AG9),0)</f>
        <v>0</v>
      </c>
      <c r="AH14" s="126"/>
      <c r="AI14" s="126"/>
      <c r="AJ14" s="117" t="n">
        <f aca="false">IFERROR(SUM(AJ6:AJ9),0)</f>
        <v>0.71</v>
      </c>
      <c r="AK14" s="126"/>
      <c r="AL14" s="126"/>
      <c r="AM14" s="117" t="n">
        <f aca="false">IFERROR(SUM(AM6:AM9),0)</f>
        <v>8</v>
      </c>
      <c r="AN14" s="126"/>
      <c r="AO14" s="126"/>
      <c r="AP14" s="117" t="n">
        <f aca="false">IFERROR(SUM(AP6:AP9),0)</f>
        <v>35.76</v>
      </c>
      <c r="AQ14" s="126"/>
      <c r="AR14" s="126"/>
      <c r="AS14" s="117" t="n">
        <f aca="false">IFERROR(SUM(AS6:AS9),0)</f>
        <v>0</v>
      </c>
      <c r="AT14" s="126"/>
      <c r="AU14" s="126"/>
      <c r="AV14" s="117" t="n">
        <f aca="false">IFERROR(SUM(I6:I9),0)+IFERROR(SUM(L6:L9),0)+IFERROR(SUM(O6:O9),0)+IFERROR(SUM(R6:R9),0)+IFERROR(SUM(U6:U9),0)+IFERROR(SUM(X6:X9),0)+IFERROR(SUM(AA6:AA9),0)+IFERROR(SUM(AD6:AD9),0)+IFERROR(SUM(AG6:AG9),0)+IFERROR(SUM(AJ6:AJ9),0)+IFERROR(SUM(AM6:AM9),0)+IFERROR(SUM(AP6:AP9),0)+IFERROR(SUM(AS6:AS9),0)</f>
        <v>622.2</v>
      </c>
      <c r="AW14" s="103" t="n">
        <f aca="false">SUM(H12:AU12)</f>
        <v>622.2</v>
      </c>
      <c r="AX14" s="99"/>
      <c r="AY14" s="104" t="n">
        <f aca="false">IF(AX10="","-",AX10-AW10)</f>
        <v>2730.13</v>
      </c>
      <c r="AZ14" s="105" t="n">
        <f aca="false">IF(OR(AX10="",AX10=0),"-",(AX10-AW10)/AX10)</f>
        <v>0.353829405322741</v>
      </c>
    </row>
    <row r="15" customFormat="false" ht="18" hidden="false" customHeight="true" outlineLevel="0" collapsed="false">
      <c r="A15" s="127" t="s">
        <v>358</v>
      </c>
      <c r="B15" s="124"/>
      <c r="C15" s="124"/>
      <c r="D15" s="124"/>
      <c r="E15" s="124"/>
      <c r="F15" s="124"/>
      <c r="G15" s="125"/>
      <c r="H15" s="126"/>
      <c r="I15" s="126"/>
      <c r="J15" s="121" t="n">
        <f aca="false">IFERROR(SUM(J6:J9),0)</f>
        <v>0</v>
      </c>
      <c r="K15" s="126"/>
      <c r="L15" s="126"/>
      <c r="M15" s="121" t="n">
        <f aca="false">IFERROR(SUM(M6:M9),0)</f>
        <v>0</v>
      </c>
      <c r="N15" s="126"/>
      <c r="O15" s="126"/>
      <c r="P15" s="121" t="n">
        <f aca="false">IFERROR(SUM(P6:P9),0)</f>
        <v>68.6</v>
      </c>
      <c r="Q15" s="126"/>
      <c r="R15" s="126"/>
      <c r="S15" s="121" t="n">
        <f aca="false">IFERROR(SUM(S6:S9),0)</f>
        <v>0</v>
      </c>
      <c r="T15" s="126"/>
      <c r="U15" s="126"/>
      <c r="V15" s="121" t="n">
        <f aca="false">IFERROR(SUM(V6:V9),0)</f>
        <v>0</v>
      </c>
      <c r="W15" s="126"/>
      <c r="X15" s="126"/>
      <c r="Y15" s="121" t="n">
        <f aca="false">IFERROR(SUM(Y6:Y9),0)</f>
        <v>0</v>
      </c>
      <c r="Z15" s="126"/>
      <c r="AA15" s="126"/>
      <c r="AB15" s="121" t="n">
        <f aca="false">IFERROR(SUM(AB6:AB9),0)</f>
        <v>41.16</v>
      </c>
      <c r="AC15" s="126"/>
      <c r="AD15" s="126"/>
      <c r="AE15" s="121" t="n">
        <f aca="false">IFERROR(SUM(AE6:AE9),0)</f>
        <v>49.24</v>
      </c>
      <c r="AF15" s="126"/>
      <c r="AG15" s="126"/>
      <c r="AH15" s="121" t="n">
        <f aca="false">IFERROR(SUM(AH6:AH9),0)</f>
        <v>32.62</v>
      </c>
      <c r="AI15" s="126"/>
      <c r="AJ15" s="126"/>
      <c r="AK15" s="121" t="n">
        <f aca="false">IFERROR(SUM(AK6:AK9),0)</f>
        <v>21.53</v>
      </c>
      <c r="AL15" s="126"/>
      <c r="AM15" s="126"/>
      <c r="AN15" s="121" t="n">
        <f aca="false">IFERROR(SUM(AN6:AN9),0)</f>
        <v>3.16</v>
      </c>
      <c r="AO15" s="126"/>
      <c r="AP15" s="126"/>
      <c r="AQ15" s="121" t="n">
        <f aca="false">IFERROR(SUM(AQ6:AQ9),0)</f>
        <v>0</v>
      </c>
      <c r="AR15" s="126"/>
      <c r="AS15" s="126"/>
      <c r="AT15" s="121" t="n">
        <f aca="false">IFERROR(SUM(AT6:AT9),0)</f>
        <v>0</v>
      </c>
      <c r="AU15" s="126"/>
      <c r="AV15" s="121" t="n">
        <f aca="false">IFERROR(SUM(J6:J9),0)+IFERROR(SUM(M6:M9),0)+IFERROR(SUM(P6:P9),0)+IFERROR(SUM(S6:S9),0)+IFERROR(SUM(V6:V9),0)+IFERROR(SUM(Y6:Y9),0)+IFERROR(SUM(AB6:AB9),0)+IFERROR(SUM(AE6:AE9),0)+IFERROR(SUM(AH6:AH9),0)+IFERROR(SUM(AK6:AK9),0)+IFERROR(SUM(AN6:AN9),0)+IFERROR(SUM(AQ6:AQ9),0)+IFERROR(SUM(AT6:AT9),0)</f>
        <v>216.31</v>
      </c>
      <c r="AW15" s="103" t="n">
        <f aca="false">SUM(H13:AU13)</f>
        <v>216.31</v>
      </c>
      <c r="AX15" s="99"/>
      <c r="AY15" s="104" t="n">
        <f aca="false">IF(AX11="","-",AX11-AW11)</f>
        <v>1414.85</v>
      </c>
      <c r="AZ15" s="105" t="n">
        <f aca="false">IF(OR(AX11="",AX11=0),"-",(AX11-AW11)/AX11)</f>
        <v>0.252516509013029</v>
      </c>
    </row>
    <row r="16" customFormat="false" ht="18" hidden="false" customHeight="true" outlineLevel="0" collapsed="false">
      <c r="A16" s="95" t="n">
        <v>7</v>
      </c>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02" t="n">
        <f aca="false">IFERROR(IFERROR(H12,0)+IFERROR(K12,0)+IFERROR(N12,0)+IFERROR(Q12,0)+IFERROR(T12,0)+IFERROR(W12,0)+IFERROR(Z12,0)+IFERROR(AC12,0)+IFERROR(AF12,0)+IFERROR(AI12,0)+IFERROR(AL12,0)+IFERROR(AO12,0)+IFERROR(AR12,0)+IFERROR(AU12,0),0)</f>
        <v>0</v>
      </c>
      <c r="AW16" s="103" t="n">
        <f aca="false">SUM(H14:AU14)</f>
        <v>622.2</v>
      </c>
      <c r="AX16" s="99"/>
      <c r="AY16" s="104" t="str">
        <f aca="false">IF(AX12="","-",AX12-AW12)</f>
        <v>-</v>
      </c>
      <c r="AZ16" s="105" t="str">
        <f aca="false">IF(OR(AX12="",AX12=0),"-",(AX12-AW12)/AX12)</f>
        <v>-</v>
      </c>
    </row>
    <row r="17" customFormat="false" ht="18" hidden="false" customHeight="true" outlineLevel="0" collapsed="false">
      <c r="A17" s="95" t="n">
        <v>8</v>
      </c>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02" t="n">
        <f aca="false">IFERROR(IFERROR(H13,0)+IFERROR(K13,0)+IFERROR(N13,0)+IFERROR(Q13,0)+IFERROR(T13,0)+IFERROR(W13,0)+IFERROR(Z13,0)+IFERROR(AC13,0)+IFERROR(AF13,0)+IFERROR(AI13,0)+IFERROR(AL13,0)+IFERROR(AO13,0)+IFERROR(AR13,0)+IFERROR(AU13,0),0)</f>
        <v>0</v>
      </c>
      <c r="AW17" s="103" t="n">
        <f aca="false">SUM(H15:AU15)</f>
        <v>216.31</v>
      </c>
      <c r="AX17" s="99"/>
      <c r="AY17" s="104" t="str">
        <f aca="false">IF(AX13="","-",AX13-AW13)</f>
        <v>-</v>
      </c>
      <c r="AZ17" s="105" t="str">
        <f aca="false">IF(OR(AX13="",AX13=0),"-",(AX13-AW13)/AX13)</f>
        <v>-</v>
      </c>
    </row>
    <row r="18" customFormat="false" ht="18" hidden="false" customHeight="true" outlineLevel="0" collapsed="false">
      <c r="A18" s="95" t="n">
        <v>9</v>
      </c>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02" t="n">
        <f aca="false">IFERROR(IFERROR(H14,0)+IFERROR(K14,0)+IFERROR(N14,0)+IFERROR(Q14,0)+IFERROR(T14,0)+IFERROR(W14,0)+IFERROR(Z14,0)+IFERROR(AC14,0)+IFERROR(AF14,0)+IFERROR(AI14,0)+IFERROR(AL14,0)+IFERROR(AO14,0)+IFERROR(AR14,0)+IFERROR(AU14,0),0)</f>
        <v>0</v>
      </c>
      <c r="AW18" s="103" t="n">
        <f aca="false">SUM(H16:AU16)</f>
        <v>0</v>
      </c>
      <c r="AX18" s="99"/>
      <c r="AY18" s="104" t="str">
        <f aca="false">IF(AX14="","-",AX14-AW14)</f>
        <v>-</v>
      </c>
      <c r="AZ18" s="105" t="str">
        <f aca="false">IF(OR(AX14="",AX14=0),"-",(AX14-AW14)/AX14)</f>
        <v>-</v>
      </c>
    </row>
    <row r="19" customFormat="false" ht="18" hidden="false" customHeight="true" outlineLevel="0" collapsed="false">
      <c r="A19" s="95" t="n">
        <v>10</v>
      </c>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02" t="n">
        <f aca="false">IFERROR(IFERROR(H15,0)+IFERROR(K15,0)+IFERROR(N15,0)+IFERROR(Q15,0)+IFERROR(T15,0)+IFERROR(W15,0)+IFERROR(Z15,0)+IFERROR(AC15,0)+IFERROR(AF15,0)+IFERROR(AI15,0)+IFERROR(AL15,0)+IFERROR(AO15,0)+IFERROR(AR15,0)+IFERROR(AU15,0),0)</f>
        <v>0</v>
      </c>
      <c r="AW19" s="103" t="n">
        <f aca="false">SUM(H17:AU17)</f>
        <v>0</v>
      </c>
      <c r="AX19" s="99"/>
      <c r="AY19" s="104" t="str">
        <f aca="false">IF(AX15="","-",AX15-AW15)</f>
        <v>-</v>
      </c>
      <c r="AZ19" s="105" t="str">
        <f aca="false">IF(OR(AX15="",AX15=0),"-",(AX15-AW15)/AX15)</f>
        <v>-</v>
      </c>
    </row>
    <row r="20" customFormat="false" ht="18" hidden="false" customHeight="true" outlineLevel="0" collapsed="false">
      <c r="A20" s="95" t="n">
        <v>11</v>
      </c>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02" t="n">
        <f aca="false">IFERROR(IFERROR(H16,0)+IFERROR(K16,0)+IFERROR(N16,0)+IFERROR(Q16,0)+IFERROR(T16,0)+IFERROR(W16,0)+IFERROR(Z16,0)+IFERROR(AC16,0)+IFERROR(AF16,0)+IFERROR(AI16,0)+IFERROR(AL16,0)+IFERROR(AO16,0)+IFERROR(AR16,0)+IFERROR(AU16,0),0)</f>
        <v>0</v>
      </c>
      <c r="AW20" s="103" t="n">
        <f aca="false">SUM(H18:AU18)</f>
        <v>0</v>
      </c>
      <c r="AX20" s="99"/>
      <c r="AY20" s="104" t="str">
        <f aca="false">IF(AX16="","-",AX16-AW16)</f>
        <v>-</v>
      </c>
      <c r="AZ20" s="105" t="str">
        <f aca="false">IF(OR(AX16="",AX16=0),"-",(AX16-AW16)/AX16)</f>
        <v>-</v>
      </c>
    </row>
    <row r="21" customFormat="false" ht="18" hidden="false" customHeight="true" outlineLevel="0" collapsed="false">
      <c r="A21" s="95" t="n">
        <v>12</v>
      </c>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02" t="n">
        <f aca="false">IFERROR(IFERROR(H17,0)+IFERROR(K17,0)+IFERROR(N17,0)+IFERROR(Q17,0)+IFERROR(T17,0)+IFERROR(W17,0)+IFERROR(Z17,0)+IFERROR(AC17,0)+IFERROR(AF17,0)+IFERROR(AI17,0)+IFERROR(AL17,0)+IFERROR(AO17,0)+IFERROR(AR17,0)+IFERROR(AU17,0),0)</f>
        <v>0</v>
      </c>
      <c r="AW21" s="103" t="n">
        <f aca="false">SUM(H19:AU19)</f>
        <v>0</v>
      </c>
      <c r="AX21" s="99"/>
      <c r="AY21" s="104" t="str">
        <f aca="false">IF(AX17="","-",AX17-AW17)</f>
        <v>-</v>
      </c>
      <c r="AZ21" s="105" t="str">
        <f aca="false">IF(OR(AX17="",AX17=0),"-",(AX17-AW17)/AX17)</f>
        <v>-</v>
      </c>
    </row>
    <row r="22" customFormat="false" ht="18" hidden="false" customHeight="true" outlineLevel="0" collapsed="false">
      <c r="A22" s="95" t="n">
        <v>13</v>
      </c>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02" t="n">
        <f aca="false">IFERROR(IFERROR(H18,0)+IFERROR(K18,0)+IFERROR(N18,0)+IFERROR(Q18,0)+IFERROR(T18,0)+IFERROR(W18,0)+IFERROR(Z18,0)+IFERROR(AC18,0)+IFERROR(AF18,0)+IFERROR(AI18,0)+IFERROR(AL18,0)+IFERROR(AO18,0)+IFERROR(AR18,0)+IFERROR(AU18,0),0)</f>
        <v>0</v>
      </c>
      <c r="AW22" s="103" t="n">
        <f aca="false">SUM(H20:AU20)</f>
        <v>0</v>
      </c>
      <c r="AX22" s="99"/>
      <c r="AY22" s="104" t="str">
        <f aca="false">IF(AX18="","-",AX18-AW18)</f>
        <v>-</v>
      </c>
      <c r="AZ22" s="105" t="str">
        <f aca="false">IF(OR(AX18="",AX18=0),"-",(AX18-AW18)/AX18)</f>
        <v>-</v>
      </c>
    </row>
    <row r="23" customFormat="false" ht="18" hidden="false" customHeight="true" outlineLevel="0" collapsed="false">
      <c r="A23" s="95" t="n">
        <v>14</v>
      </c>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02" t="n">
        <f aca="false">IFERROR(IFERROR(H19,0)+IFERROR(K19,0)+IFERROR(N19,0)+IFERROR(Q19,0)+IFERROR(T19,0)+IFERROR(W19,0)+IFERROR(Z19,0)+IFERROR(AC19,0)+IFERROR(AF19,0)+IFERROR(AI19,0)+IFERROR(AL19,0)+IFERROR(AO19,0)+IFERROR(AR19,0)+IFERROR(AU19,0),0)</f>
        <v>0</v>
      </c>
      <c r="AW23" s="103" t="n">
        <f aca="false">SUM(H21:AU21)</f>
        <v>0</v>
      </c>
      <c r="AX23" s="99"/>
      <c r="AY23" s="104" t="str">
        <f aca="false">IF(AX19="","-",AX19-AW19)</f>
        <v>-</v>
      </c>
      <c r="AZ23" s="105" t="str">
        <f aca="false">IF(OR(AX19="",AX19=0),"-",(AX19-AW19)/AX19)</f>
        <v>-</v>
      </c>
    </row>
    <row r="24" customFormat="false" ht="18" hidden="false" customHeight="true" outlineLevel="0" collapsed="false">
      <c r="A24" s="95" t="n">
        <v>15</v>
      </c>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02" t="n">
        <f aca="false">IFERROR(IFERROR(H20,0)+IFERROR(K20,0)+IFERROR(N20,0)+IFERROR(Q20,0)+IFERROR(T20,0)+IFERROR(W20,0)+IFERROR(Z20,0)+IFERROR(AC20,0)+IFERROR(AF20,0)+IFERROR(AI20,0)+IFERROR(AL20,0)+IFERROR(AO20,0)+IFERROR(AR20,0)+IFERROR(AU20,0),0)</f>
        <v>0</v>
      </c>
      <c r="AW24" s="103" t="n">
        <f aca="false">SUM(H22:AU22)</f>
        <v>0</v>
      </c>
      <c r="AX24" s="99"/>
      <c r="AY24" s="104" t="str">
        <f aca="false">IF(AX20="","-",AX20-AW20)</f>
        <v>-</v>
      </c>
      <c r="AZ24" s="105" t="str">
        <f aca="false">IF(OR(AX20="",AX20=0),"-",(AX20-AW20)/AX20)</f>
        <v>-</v>
      </c>
    </row>
    <row r="25" customFormat="false" ht="18" hidden="false" customHeight="true" outlineLevel="0" collapsed="false">
      <c r="A25" s="95" t="n">
        <v>16</v>
      </c>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02" t="n">
        <f aca="false">IFERROR(IFERROR(H21,0)+IFERROR(K21,0)+IFERROR(N21,0)+IFERROR(Q21,0)+IFERROR(T21,0)+IFERROR(W21,0)+IFERROR(Z21,0)+IFERROR(AC21,0)+IFERROR(AF21,0)+IFERROR(AI21,0)+IFERROR(AL21,0)+IFERROR(AO21,0)+IFERROR(AR21,0)+IFERROR(AU21,0),0)</f>
        <v>0</v>
      </c>
      <c r="AW25" s="103" t="n">
        <f aca="false">SUM(H23:AU23)</f>
        <v>0</v>
      </c>
      <c r="AX25" s="99"/>
      <c r="AY25" s="104" t="str">
        <f aca="false">IF(AX21="","-",AX21-AW21)</f>
        <v>-</v>
      </c>
      <c r="AZ25" s="105" t="str">
        <f aca="false">IF(OR(AX21="",AX21=0),"-",(AX21-AW21)/AX21)</f>
        <v>-</v>
      </c>
    </row>
    <row r="26" customFormat="false" ht="18" hidden="false" customHeight="true" outlineLevel="0" collapsed="false">
      <c r="A26" s="95" t="n">
        <v>17</v>
      </c>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02" t="n">
        <f aca="false">IFERROR(IFERROR(H22,0)+IFERROR(K22,0)+IFERROR(N22,0)+IFERROR(Q22,0)+IFERROR(T22,0)+IFERROR(W22,0)+IFERROR(Z22,0)+IFERROR(AC22,0)+IFERROR(AF22,0)+IFERROR(AI22,0)+IFERROR(AL22,0)+IFERROR(AO22,0)+IFERROR(AR22,0)+IFERROR(AU22,0),0)</f>
        <v>0</v>
      </c>
      <c r="AW26" s="103" t="n">
        <f aca="false">SUM(H24:AU24)</f>
        <v>0</v>
      </c>
      <c r="AX26" s="99"/>
      <c r="AY26" s="104" t="str">
        <f aca="false">IF(AX22="","-",AX22-AW22)</f>
        <v>-</v>
      </c>
      <c r="AZ26" s="105" t="str">
        <f aca="false">IF(OR(AX22="",AX22=0),"-",(AX22-AW22)/AX22)</f>
        <v>-</v>
      </c>
    </row>
    <row r="27" customFormat="false" ht="18" hidden="false" customHeight="true" outlineLevel="0" collapsed="false">
      <c r="A27" s="95" t="n">
        <v>18</v>
      </c>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02" t="n">
        <f aca="false">IFERROR(IFERROR(H23,0)+IFERROR(K23,0)+IFERROR(N23,0)+IFERROR(Q23,0)+IFERROR(T23,0)+IFERROR(W23,0)+IFERROR(Z23,0)+IFERROR(AC23,0)+IFERROR(AF23,0)+IFERROR(AI23,0)+IFERROR(AL23,0)+IFERROR(AO23,0)+IFERROR(AR23,0)+IFERROR(AU23,0),0)</f>
        <v>0</v>
      </c>
      <c r="AW27" s="103" t="n">
        <f aca="false">SUM(H25:AU25)</f>
        <v>0</v>
      </c>
      <c r="AX27" s="99"/>
      <c r="AY27" s="104" t="str">
        <f aca="false">IF(AX23="","-",AX23-AW23)</f>
        <v>-</v>
      </c>
      <c r="AZ27" s="105" t="str">
        <f aca="false">IF(OR(AX23="",AX23=0),"-",(AX23-AW23)/AX23)</f>
        <v>-</v>
      </c>
    </row>
    <row r="28" customFormat="false" ht="18" hidden="false" customHeight="true" outlineLevel="0" collapsed="false">
      <c r="A28" s="95" t="n">
        <v>19</v>
      </c>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02" t="n">
        <f aca="false">IFERROR(IFERROR(H24,0)+IFERROR(K24,0)+IFERROR(N24,0)+IFERROR(Q24,0)+IFERROR(T24,0)+IFERROR(W24,0)+IFERROR(Z24,0)+IFERROR(AC24,0)+IFERROR(AF24,0)+IFERROR(AI24,0)+IFERROR(AL24,0)+IFERROR(AO24,0)+IFERROR(AR24,0)+IFERROR(AU24,0),0)</f>
        <v>0</v>
      </c>
      <c r="AW28" s="103" t="n">
        <f aca="false">SUM(H26:AU26)</f>
        <v>0</v>
      </c>
      <c r="AX28" s="99"/>
      <c r="AY28" s="104" t="str">
        <f aca="false">IF(AX24="","-",AX24-AW24)</f>
        <v>-</v>
      </c>
      <c r="AZ28" s="105" t="str">
        <f aca="false">IF(OR(AX24="",AX24=0),"-",(AX24-AW24)/AX24)</f>
        <v>-</v>
      </c>
    </row>
    <row r="29" customFormat="false" ht="18" hidden="false" customHeight="true" outlineLevel="0" collapsed="false">
      <c r="A29" s="95" t="n">
        <v>20</v>
      </c>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02" t="n">
        <f aca="false">IFERROR(IFERROR(H25,0)+IFERROR(K25,0)+IFERROR(N25,0)+IFERROR(Q25,0)+IFERROR(T25,0)+IFERROR(W25,0)+IFERROR(Z25,0)+IFERROR(AC25,0)+IFERROR(AF25,0)+IFERROR(AI25,0)+IFERROR(AL25,0)+IFERROR(AO25,0)+IFERROR(AR25,0)+IFERROR(AU25,0),0)</f>
        <v>0</v>
      </c>
      <c r="AW29" s="103" t="n">
        <f aca="false">SUM(H27:AU27)</f>
        <v>0</v>
      </c>
      <c r="AX29" s="99"/>
      <c r="AY29" s="104" t="str">
        <f aca="false">IF(AX25="","-",AX25-AW25)</f>
        <v>-</v>
      </c>
      <c r="AZ29" s="105" t="str">
        <f aca="false">IF(OR(AX25="",AX25=0),"-",(AX25-AW25)/AX25)</f>
        <v>-</v>
      </c>
    </row>
    <row r="30" customFormat="false" ht="18" hidden="false" customHeight="true" outlineLevel="0" collapsed="false">
      <c r="A30" s="95" t="n">
        <v>21</v>
      </c>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02" t="n">
        <f aca="false">IFERROR(IFERROR(H26,0)+IFERROR(K26,0)+IFERROR(N26,0)+IFERROR(Q26,0)+IFERROR(T26,0)+IFERROR(W26,0)+IFERROR(Z26,0)+IFERROR(AC26,0)+IFERROR(AF26,0)+IFERROR(AI26,0)+IFERROR(AL26,0)+IFERROR(AO26,0)+IFERROR(AR26,0)+IFERROR(AU26,0),0)</f>
        <v>0</v>
      </c>
      <c r="AW30" s="103" t="n">
        <f aca="false">SUM(H28:AU28)</f>
        <v>0</v>
      </c>
      <c r="AX30" s="99"/>
      <c r="AY30" s="104" t="str">
        <f aca="false">IF(AX26="","-",AX26-AW26)</f>
        <v>-</v>
      </c>
      <c r="AZ30" s="105" t="str">
        <f aca="false">IF(OR(AX26="",AX26=0),"-",(AX26-AW26)/AX26)</f>
        <v>-</v>
      </c>
    </row>
    <row r="31" customFormat="false" ht="18" hidden="false" customHeight="true" outlineLevel="0" collapsed="false">
      <c r="A31" s="95" t="n">
        <v>22</v>
      </c>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02" t="n">
        <f aca="false">IFERROR(IFERROR(H27,0)+IFERROR(K27,0)+IFERROR(N27,0)+IFERROR(Q27,0)+IFERROR(T27,0)+IFERROR(W27,0)+IFERROR(Z27,0)+IFERROR(AC27,0)+IFERROR(AF27,0)+IFERROR(AI27,0)+IFERROR(AL27,0)+IFERROR(AO27,0)+IFERROR(AR27,0)+IFERROR(AU27,0),0)</f>
        <v>0</v>
      </c>
      <c r="AW31" s="103" t="n">
        <f aca="false">SUM(H29:AU29)</f>
        <v>0</v>
      </c>
      <c r="AX31" s="99"/>
      <c r="AY31" s="104" t="str">
        <f aca="false">IF(AX27="","-",AX27-AW27)</f>
        <v>-</v>
      </c>
      <c r="AZ31" s="105" t="str">
        <f aca="false">IF(OR(AX27="",AX27=0),"-",(AX27-AW27)/AX27)</f>
        <v>-</v>
      </c>
    </row>
    <row r="32" customFormat="false" ht="18" hidden="false" customHeight="true" outlineLevel="0" collapsed="false">
      <c r="A32" s="95" t="n">
        <v>23</v>
      </c>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02" t="n">
        <f aca="false">IFERROR(IFERROR(H28,0)+IFERROR(K28,0)+IFERROR(N28,0)+IFERROR(Q28,0)+IFERROR(T28,0)+IFERROR(W28,0)+IFERROR(Z28,0)+IFERROR(AC28,0)+IFERROR(AF28,0)+IFERROR(AI28,0)+IFERROR(AL28,0)+IFERROR(AO28,0)+IFERROR(AR28,0)+IFERROR(AU28,0),0)</f>
        <v>0</v>
      </c>
      <c r="AW32" s="103" t="n">
        <f aca="false">SUM(H30:AU30)</f>
        <v>0</v>
      </c>
      <c r="AX32" s="99"/>
      <c r="AY32" s="104" t="str">
        <f aca="false">IF(AX28="","-",AX28-AW28)</f>
        <v>-</v>
      </c>
      <c r="AZ32" s="105" t="str">
        <f aca="false">IF(OR(AX28="",AX28=0),"-",(AX28-AW28)/AX28)</f>
        <v>-</v>
      </c>
    </row>
    <row r="33" customFormat="false" ht="18" hidden="false" customHeight="true" outlineLevel="0" collapsed="false">
      <c r="A33" s="95" t="n">
        <v>24</v>
      </c>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02" t="n">
        <f aca="false">IFERROR(IFERROR(H29,0)+IFERROR(K29,0)+IFERROR(N29,0)+IFERROR(Q29,0)+IFERROR(T29,0)+IFERROR(W29,0)+IFERROR(Z29,0)+IFERROR(AC29,0)+IFERROR(AF29,0)+IFERROR(AI29,0)+IFERROR(AL29,0)+IFERROR(AO29,0)+IFERROR(AR29,0)+IFERROR(AU29,0),0)</f>
        <v>0</v>
      </c>
      <c r="AW33" s="103" t="n">
        <f aca="false">SUM(H31:AU31)</f>
        <v>0</v>
      </c>
      <c r="AX33" s="99"/>
      <c r="AY33" s="104" t="str">
        <f aca="false">IF(AX29="","-",AX29-AW29)</f>
        <v>-</v>
      </c>
      <c r="AZ33" s="105" t="str">
        <f aca="false">IF(OR(AX29="",AX29=0),"-",(AX29-AW29)/AX29)</f>
        <v>-</v>
      </c>
    </row>
    <row r="34" customFormat="false" ht="18" hidden="false" customHeight="true" outlineLevel="0" collapsed="false">
      <c r="A34" s="95" t="n">
        <v>25</v>
      </c>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02" t="n">
        <f aca="false">IFERROR(IFERROR(H30,0)+IFERROR(K30,0)+IFERROR(N30,0)+IFERROR(Q30,0)+IFERROR(T30,0)+IFERROR(W30,0)+IFERROR(Z30,0)+IFERROR(AC30,0)+IFERROR(AF30,0)+IFERROR(AI30,0)+IFERROR(AL30,0)+IFERROR(AO30,0)+IFERROR(AR30,0)+IFERROR(AU30,0),0)</f>
        <v>0</v>
      </c>
      <c r="AW34" s="103" t="n">
        <f aca="false">SUM(H32:AU32)</f>
        <v>0</v>
      </c>
      <c r="AX34" s="99"/>
      <c r="AY34" s="104" t="str">
        <f aca="false">IF(AX30="","-",AX30-AW30)</f>
        <v>-</v>
      </c>
      <c r="AZ34" s="105" t="str">
        <f aca="false">IF(OR(AX30="",AX30=0),"-",(AX30-AW30)/AX30)</f>
        <v>-</v>
      </c>
    </row>
    <row r="35" customFormat="false" ht="18" hidden="false" customHeight="true" outlineLevel="0" collapsed="false">
      <c r="A35" s="95" t="n">
        <v>26</v>
      </c>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02" t="n">
        <f aca="false">IFERROR(IFERROR(H31,0)+IFERROR(K31,0)+IFERROR(N31,0)+IFERROR(Q31,0)+IFERROR(T31,0)+IFERROR(W31,0)+IFERROR(Z31,0)+IFERROR(AC31,0)+IFERROR(AF31,0)+IFERROR(AI31,0)+IFERROR(AL31,0)+IFERROR(AO31,0)+IFERROR(AR31,0)+IFERROR(AU31,0),0)</f>
        <v>0</v>
      </c>
      <c r="AW35" s="103" t="n">
        <f aca="false">SUM(H33:AU33)</f>
        <v>0</v>
      </c>
      <c r="AX35" s="99"/>
      <c r="AY35" s="104" t="str">
        <f aca="false">IF(AX31="","-",AX31-AW31)</f>
        <v>-</v>
      </c>
      <c r="AZ35" s="105" t="str">
        <f aca="false">IF(OR(AX31="",AX31=0),"-",(AX31-AW31)/AX31)</f>
        <v>-</v>
      </c>
    </row>
    <row r="36" customFormat="false" ht="18" hidden="false" customHeight="true" outlineLevel="0" collapsed="false">
      <c r="A36" s="128" t="n">
        <v>27</v>
      </c>
      <c r="B36" s="128"/>
      <c r="C36" s="128"/>
      <c r="D36" s="128"/>
      <c r="E36" s="128"/>
      <c r="F36" s="128"/>
      <c r="G36" s="128"/>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02" t="n">
        <f aca="false">IFERROR(IFERROR(H32,0)+IFERROR(K32,0)+IFERROR(N32,0)+IFERROR(Q32,0)+IFERROR(T32,0)+IFERROR(W32,0)+IFERROR(Z32,0)+IFERROR(AC32,0)+IFERROR(AF32,0)+IFERROR(AI32,0)+IFERROR(AL32,0)+IFERROR(AO32,0)+IFERROR(AR32,0)+IFERROR(AU32,0),0)</f>
        <v>0</v>
      </c>
      <c r="AW36" s="103" t="n">
        <f aca="false">SUM(H34:AU34)</f>
        <v>0</v>
      </c>
      <c r="AX36" s="99"/>
      <c r="AY36" s="104" t="str">
        <f aca="false">IF(AX32="","-",AX32-AW32)</f>
        <v>-</v>
      </c>
      <c r="AZ36" s="105" t="str">
        <f aca="false">IF(OR(AX32="",AX32=0),"-",(AX32-AW32)/AX32)</f>
        <v>-</v>
      </c>
    </row>
    <row r="37" customFormat="false" ht="15" hidden="false" customHeight="true" outlineLevel="0" collapsed="false">
      <c r="A37" s="95" t="n">
        <v>28</v>
      </c>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02" t="n">
        <f aca="false">IFERROR(IFERROR(H33,0)+IFERROR(K33,0)+IFERROR(N33,0)+IFERROR(Q33,0)+IFERROR(T33,0)+IFERROR(W33,0)+IFERROR(Z33,0)+IFERROR(AC33,0)+IFERROR(AF33,0)+IFERROR(AI33,0)+IFERROR(AL33,0)+IFERROR(AO33,0)+IFERROR(AR33,0)+IFERROR(AU33,0),0)</f>
        <v>0</v>
      </c>
      <c r="AW37" s="103" t="n">
        <f aca="false">SUM(H35:AU35)</f>
        <v>0</v>
      </c>
      <c r="AX37" s="99"/>
      <c r="AY37" s="104" t="str">
        <f aca="false">IF(AX33="","-",AX33-AW33)</f>
        <v>-</v>
      </c>
      <c r="AZ37" s="105" t="str">
        <f aca="false">IF(OR(AX33="",AX33=0),"-",(AX33-AW33)/AX33)</f>
        <v>-</v>
      </c>
    </row>
    <row r="38" customFormat="false" ht="15" hidden="false" customHeight="true" outlineLevel="0" collapsed="false">
      <c r="A38" s="128" t="n">
        <v>29</v>
      </c>
      <c r="B38" s="124"/>
      <c r="C38" s="124"/>
      <c r="D38" s="124"/>
      <c r="E38" s="124"/>
      <c r="F38" s="124"/>
      <c r="G38" s="124"/>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02" t="n">
        <f aca="false">IFERROR(IFERROR(H34,0)+IFERROR(K34,0)+IFERROR(N34,0)+IFERROR(Q34,0)+IFERROR(T34,0)+IFERROR(W34,0)+IFERROR(Z34,0)+IFERROR(AC34,0)+IFERROR(AF34,0)+IFERROR(AI34,0)+IFERROR(AL34,0)+IFERROR(AO34,0)+IFERROR(AR34,0)+IFERROR(AU34,0),0)</f>
        <v>0</v>
      </c>
      <c r="AW38" s="129" t="n">
        <f aca="false">IFERROR(SUMPRODUCT((ISNUMBER(H34:AU34))*IFERROR(H34:AU34,0)),0)</f>
        <v>0</v>
      </c>
      <c r="AX38" s="99"/>
      <c r="AY38" s="104" t="str">
        <f aca="false">IF(AX34="","-",AX34-AW34)</f>
        <v>-</v>
      </c>
      <c r="AZ38" s="105" t="str">
        <f aca="false">IF(OR(AX34="",AX34=0),"-",(AX34-AW34)/AX34)</f>
        <v>-</v>
      </c>
    </row>
    <row r="39" customFormat="false" ht="15" hidden="false" customHeight="true" outlineLevel="0" collapsed="false">
      <c r="A39" s="95" t="n">
        <v>30</v>
      </c>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02" t="n">
        <f aca="false">IFERROR(IFERROR(H35,0)+IFERROR(K35,0)+IFERROR(N35,0)+IFERROR(Q35,0)+IFERROR(T35,0)+IFERROR(W35,0)+IFERROR(Z35,0)+IFERROR(AC35,0)+IFERROR(AF35,0)+IFERROR(AI35,0)+IFERROR(AL35,0)+IFERROR(AO35,0)+IFERROR(AR35,0)+IFERROR(AU35,0),0)</f>
        <v>0</v>
      </c>
      <c r="AW39" s="129" t="n">
        <f aca="false">IFERROR(SUMPRODUCT((ISNUMBER(H35:AU35))*IFERROR(H35:AU35,0)),0)</f>
        <v>0</v>
      </c>
      <c r="AX39" s="99"/>
      <c r="AY39" s="104" t="str">
        <f aca="false">IF(AX35="","-",AX35-AW35)</f>
        <v>-</v>
      </c>
      <c r="AZ39" s="105" t="str">
        <f aca="false">IF(OR(AX35="",AX35=0),"-",(AX35-AW35)/AX35)</f>
        <v>-</v>
      </c>
    </row>
    <row r="40" customFormat="false" ht="15" hidden="false" customHeight="true" outlineLevel="0" collapsed="false">
      <c r="A40" s="130" t="s">
        <v>305</v>
      </c>
      <c r="H40" s="131" t="n">
        <f aca="false">IFERROR(SUM(H6:H35),0)</f>
        <v>6892</v>
      </c>
      <c r="I40" s="131" t="n">
        <f aca="false">IFERROR(SUM(I6:I35),0)</f>
        <v>0</v>
      </c>
      <c r="J40" s="131" t="n">
        <f aca="false">IFERROR(SUM(J6:J35),0)</f>
        <v>0</v>
      </c>
      <c r="K40" s="131" t="n">
        <f aca="false">IFERROR(SUM(K6:K35),0)</f>
        <v>3850</v>
      </c>
      <c r="L40" s="131" t="n">
        <f aca="false">IFERROR(SUM(L6:L35),0)</f>
        <v>322.32</v>
      </c>
      <c r="M40" s="131" t="n">
        <f aca="false">IFERROR(SUM(M6:M35),0)</f>
        <v>0</v>
      </c>
      <c r="N40" s="131" t="n">
        <f aca="false">IFERROR(SUM(N6:N35),0)</f>
        <v>8550.9</v>
      </c>
      <c r="O40" s="131" t="n">
        <f aca="false">IFERROR(SUM(O6:O35),0)</f>
        <v>362.85</v>
      </c>
      <c r="P40" s="131" t="n">
        <f aca="false">IFERROR(SUM(P6:P35),0)</f>
        <v>205.8</v>
      </c>
      <c r="Q40" s="131" t="n">
        <f aca="false">IFERROR(SUM(Q6:Q35),0)</f>
        <v>1172.94</v>
      </c>
      <c r="R40" s="131" t="n">
        <f aca="false">IFERROR(SUM(R6:R35),0)</f>
        <v>70</v>
      </c>
      <c r="S40" s="131" t="n">
        <f aca="false">IFERROR(SUM(S6:S35),0)</f>
        <v>0</v>
      </c>
      <c r="T40" s="131" t="n">
        <f aca="false">IFERROR(SUM(T6:T35),0)</f>
        <v>781.5</v>
      </c>
      <c r="U40" s="131" t="n">
        <f aca="false">IFERROR(SUM(U6:U35),0)</f>
        <v>24</v>
      </c>
      <c r="V40" s="131" t="n">
        <f aca="false">IFERROR(SUM(V6:V35),0)</f>
        <v>0</v>
      </c>
      <c r="W40" s="131" t="n">
        <f aca="false">IFERROR(SUM(W6:W35),0)</f>
        <v>5500</v>
      </c>
      <c r="X40" s="131" t="n">
        <f aca="false">IFERROR(SUM(X6:X35),0)</f>
        <v>948.42</v>
      </c>
      <c r="Y40" s="131" t="n">
        <f aca="false">IFERROR(SUM(Y6:Y35),0)</f>
        <v>0</v>
      </c>
      <c r="Z40" s="131" t="n">
        <f aca="false">IFERROR(SUM(Z6:Z35),0)</f>
        <v>552</v>
      </c>
      <c r="AA40" s="131" t="n">
        <f aca="false">IFERROR(SUM(AA6:AA35),0)</f>
        <v>0</v>
      </c>
      <c r="AB40" s="131" t="n">
        <f aca="false">IFERROR(SUM(AB6:AB35),0)</f>
        <v>137.2</v>
      </c>
      <c r="AC40" s="131" t="n">
        <f aca="false">IFERROR(SUM(AC6:AC35),0)</f>
        <v>1619.94</v>
      </c>
      <c r="AD40" s="131" t="n">
        <f aca="false">IFERROR(SUM(AD6:AD35),0)</f>
        <v>93.24</v>
      </c>
      <c r="AE40" s="131" t="n">
        <f aca="false">IFERROR(SUM(AE6:AE35),0)</f>
        <v>172.34</v>
      </c>
      <c r="AF40" s="131" t="n">
        <f aca="false">IFERROR(SUM(AF6:AF35),0)</f>
        <v>652</v>
      </c>
      <c r="AG40" s="131" t="n">
        <f aca="false">IFERROR(SUM(AG6:AG35),0)</f>
        <v>0</v>
      </c>
      <c r="AH40" s="131" t="n">
        <f aca="false">IFERROR(SUM(AH6:AH35),0)</f>
        <v>130.48</v>
      </c>
      <c r="AI40" s="131" t="n">
        <f aca="false">IFERROR(SUM(AI6:AI35),0)</f>
        <v>453.98</v>
      </c>
      <c r="AJ40" s="131" t="n">
        <f aca="false">IFERROR(SUM(AJ6:AJ35),0)</f>
        <v>2.13</v>
      </c>
      <c r="AK40" s="131" t="n">
        <f aca="false">IFERROR(SUM(AK6:AK35),0)</f>
        <v>83.87</v>
      </c>
      <c r="AL40" s="131" t="n">
        <f aca="false">IFERROR(SUM(AL6:AL35),0)</f>
        <v>62.98</v>
      </c>
      <c r="AM40" s="131" t="n">
        <f aca="false">IFERROR(SUM(AM6:AM35),0)</f>
        <v>24</v>
      </c>
      <c r="AN40" s="131" t="n">
        <f aca="false">IFERROR(SUM(AN6:AN35),0)</f>
        <v>9.48</v>
      </c>
      <c r="AO40" s="131" t="n">
        <f aca="false">IFERROR(SUM(AO6:AO35),0)</f>
        <v>2040</v>
      </c>
      <c r="AP40" s="131" t="n">
        <f aca="false">IFERROR(SUM(AP6:AP35),0)</f>
        <v>122.32</v>
      </c>
      <c r="AQ40" s="131" t="n">
        <f aca="false">IFERROR(SUM(AQ6:AQ35),0)</f>
        <v>0</v>
      </c>
      <c r="AR40" s="131" t="n">
        <f aca="false">IFERROR(SUM(AR6:AR35),0)</f>
        <v>2583.8</v>
      </c>
      <c r="AS40" s="131" t="n">
        <f aca="false">IFERROR(SUM(AS6:AS35),0)</f>
        <v>0</v>
      </c>
      <c r="AT40" s="131" t="n">
        <f aca="false">IFERROR(SUM(AT6:AT35),0)</f>
        <v>0</v>
      </c>
      <c r="AU40" s="131" t="n">
        <f aca="false">IFERROR(SUM(AU6:AU35),0)</f>
        <v>0</v>
      </c>
      <c r="AV40" s="132" t="n">
        <f aca="false">IFERROR(SUM(AV6:AV35),0)</f>
        <v>35550.55</v>
      </c>
      <c r="AW40" s="131" t="n">
        <f aca="false">IFERROR(SUM(AV6:AV35),0)</f>
        <v>35550.55</v>
      </c>
      <c r="AX40" s="131" t="n">
        <f aca="false">IFERROR(SUM(AW6:AW35),0)</f>
        <v>46594.46</v>
      </c>
      <c r="AY40" s="132" t="n">
        <f aca="false">IFERROR(SUM(AY6:AY35),0)</f>
        <v>16220.46</v>
      </c>
      <c r="AZ40" s="133" t="str">
        <f aca="false">IFERROR(AY36/AX36,"-")</f>
        <v>-</v>
      </c>
    </row>
  </sheetData>
  <mergeCells count="19">
    <mergeCell ref="A1:BB1"/>
    <mergeCell ref="A2:BB2"/>
    <mergeCell ref="A4:B4"/>
    <mergeCell ref="C4:D4"/>
    <mergeCell ref="E4:G4"/>
    <mergeCell ref="H4:J4"/>
    <mergeCell ref="K4:M4"/>
    <mergeCell ref="N4:P4"/>
    <mergeCell ref="Q4:S4"/>
    <mergeCell ref="T4:V4"/>
    <mergeCell ref="W4:Y4"/>
    <mergeCell ref="Z4:AB4"/>
    <mergeCell ref="AC4:AE4"/>
    <mergeCell ref="AF4:AH4"/>
    <mergeCell ref="AI4:AK4"/>
    <mergeCell ref="AL4:AN4"/>
    <mergeCell ref="AO4:AQ4"/>
    <mergeCell ref="AR4:AT4"/>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3" min="2" style="1" width="12"/>
    <col collapsed="false" customWidth="true" hidden="false" outlineLevel="0" max="5" min="4" style="1" width="14"/>
    <col collapsed="false" customWidth="true" hidden="false" outlineLevel="0" max="6" min="6" style="1" width="16"/>
    <col collapsed="false" customWidth="true" hidden="false" outlineLevel="0" max="7" min="7" style="1" width="20"/>
    <col collapsed="false" customWidth="true" hidden="false" outlineLevel="0" max="8" min="8" style="1" width="30"/>
  </cols>
  <sheetData>
    <row r="1" customFormat="false" ht="21.75" hidden="false" customHeight="true" outlineLevel="0" collapsed="false">
      <c r="A1" s="35" t="s">
        <v>360</v>
      </c>
      <c r="B1" s="35"/>
      <c r="C1" s="35"/>
      <c r="D1" s="35"/>
      <c r="E1" s="35"/>
      <c r="F1" s="35"/>
      <c r="G1" s="35"/>
      <c r="H1" s="35"/>
    </row>
    <row r="2" customFormat="false" ht="12.75" hidden="false" customHeight="true" outlineLevel="0" collapsed="false">
      <c r="A2" s="134" t="s">
        <v>361</v>
      </c>
      <c r="B2" s="134"/>
      <c r="C2" s="134"/>
      <c r="D2" s="134"/>
      <c r="E2" s="134"/>
      <c r="F2" s="134"/>
      <c r="G2" s="134"/>
      <c r="H2" s="134"/>
    </row>
    <row r="3" customFormat="false" ht="30" hidden="false" customHeight="true" outlineLevel="0" collapsed="false">
      <c r="A3" s="135" t="s">
        <v>362</v>
      </c>
      <c r="B3" s="135" t="s">
        <v>363</v>
      </c>
      <c r="C3" s="135" t="s">
        <v>364</v>
      </c>
      <c r="D3" s="135" t="s">
        <v>365</v>
      </c>
      <c r="E3" s="135" t="s">
        <v>150</v>
      </c>
      <c r="F3" s="135" t="s">
        <v>283</v>
      </c>
      <c r="G3" s="135" t="s">
        <v>366</v>
      </c>
      <c r="H3" s="135" t="s">
        <v>7</v>
      </c>
    </row>
    <row r="4" customFormat="false" ht="21.75" hidden="false" customHeight="true" outlineLevel="0" collapsed="false">
      <c r="A4" s="136" t="s">
        <v>367</v>
      </c>
      <c r="B4" s="137" t="n">
        <v>1</v>
      </c>
      <c r="C4" s="138" t="n">
        <v>142.45</v>
      </c>
      <c r="D4" s="51" t="n">
        <f aca="false">B4*C4</f>
        <v>142.45</v>
      </c>
      <c r="E4" s="139" t="s">
        <v>368</v>
      </c>
      <c r="F4" s="140" t="s">
        <v>369</v>
      </c>
      <c r="G4" s="139"/>
      <c r="H4" s="141" t="s">
        <v>370</v>
      </c>
    </row>
    <row r="5" customFormat="false" ht="21.75" hidden="false" customHeight="true" outlineLevel="0" collapsed="false">
      <c r="A5" s="142" t="s">
        <v>371</v>
      </c>
      <c r="B5" s="143" t="n">
        <v>1</v>
      </c>
      <c r="C5" s="144" t="n">
        <v>650</v>
      </c>
      <c r="D5" s="51" t="n">
        <f aca="false">B5*C5</f>
        <v>650</v>
      </c>
      <c r="E5" s="145" t="s">
        <v>372</v>
      </c>
      <c r="F5" s="146" t="s">
        <v>373</v>
      </c>
      <c r="G5" s="145"/>
      <c r="H5" s="147" t="s">
        <v>374</v>
      </c>
    </row>
    <row r="6" customFormat="false" ht="18" hidden="false" customHeight="true" outlineLevel="0" collapsed="false">
      <c r="A6" s="148" t="s">
        <v>375</v>
      </c>
      <c r="B6" s="149" t="n">
        <v>1</v>
      </c>
      <c r="C6" s="150" t="n">
        <v>1373.71</v>
      </c>
      <c r="D6" s="60" t="n">
        <f aca="false">B6*C6</f>
        <v>1373.71</v>
      </c>
      <c r="E6" s="148" t="s">
        <v>376</v>
      </c>
      <c r="F6" s="151" t="s">
        <v>369</v>
      </c>
      <c r="G6" s="148"/>
      <c r="H6" s="152" t="s">
        <v>377</v>
      </c>
    </row>
    <row r="7" customFormat="false" ht="18" hidden="false" customHeight="true" outlineLevel="0" collapsed="false">
      <c r="A7" s="153" t="s">
        <v>378</v>
      </c>
      <c r="B7" s="154" t="n">
        <v>1</v>
      </c>
      <c r="C7" s="155" t="n">
        <v>1323</v>
      </c>
      <c r="D7" s="60" t="n">
        <f aca="false">B7*C7</f>
        <v>1323</v>
      </c>
      <c r="E7" s="153" t="s">
        <v>188</v>
      </c>
      <c r="F7" s="156" t="s">
        <v>379</v>
      </c>
      <c r="G7" s="153"/>
      <c r="H7" s="157" t="s">
        <v>380</v>
      </c>
    </row>
    <row r="8" customFormat="false" ht="18" hidden="false" customHeight="true" outlineLevel="0" collapsed="false">
      <c r="A8" s="148" t="s">
        <v>381</v>
      </c>
      <c r="B8" s="149" t="n">
        <v>1</v>
      </c>
      <c r="C8" s="150" t="n">
        <v>550</v>
      </c>
      <c r="D8" s="60" t="n">
        <f aca="false">B8*C8</f>
        <v>550</v>
      </c>
      <c r="E8" s="148" t="s">
        <v>382</v>
      </c>
      <c r="F8" s="156" t="s">
        <v>383</v>
      </c>
      <c r="G8" s="148"/>
      <c r="H8" s="152" t="s">
        <v>384</v>
      </c>
    </row>
    <row r="9" customFormat="false" ht="18" hidden="false" customHeight="true" outlineLevel="0" collapsed="false">
      <c r="A9" s="153" t="s">
        <v>385</v>
      </c>
      <c r="B9" s="154" t="n">
        <v>1</v>
      </c>
      <c r="C9" s="155" t="n">
        <v>1525.5</v>
      </c>
      <c r="D9" s="60" t="n">
        <f aca="false">B9*C9</f>
        <v>1525.5</v>
      </c>
      <c r="E9" s="153" t="s">
        <v>220</v>
      </c>
      <c r="F9" s="151" t="s">
        <v>289</v>
      </c>
      <c r="G9" s="153" t="s">
        <v>386</v>
      </c>
      <c r="H9" s="157" t="s">
        <v>387</v>
      </c>
    </row>
    <row r="10" customFormat="false" ht="18" hidden="false" customHeight="true" outlineLevel="0" collapsed="false">
      <c r="A10" s="148" t="s">
        <v>388</v>
      </c>
      <c r="B10" s="149" t="n">
        <v>1</v>
      </c>
      <c r="C10" s="150" t="n">
        <v>625</v>
      </c>
      <c r="D10" s="60" t="n">
        <f aca="false">B10*C10</f>
        <v>625</v>
      </c>
      <c r="E10" s="148" t="s">
        <v>372</v>
      </c>
      <c r="F10" s="151" t="s">
        <v>289</v>
      </c>
      <c r="G10" s="148" t="s">
        <v>386</v>
      </c>
      <c r="H10" s="152"/>
    </row>
    <row r="11" customFormat="false" ht="18" hidden="false" customHeight="true" outlineLevel="0" collapsed="false">
      <c r="A11" s="153" t="s">
        <v>389</v>
      </c>
      <c r="B11" s="154" t="n">
        <v>1</v>
      </c>
      <c r="C11" s="155" t="n">
        <v>1894.07</v>
      </c>
      <c r="D11" s="60" t="n">
        <f aca="false">B11*C11</f>
        <v>1894.07</v>
      </c>
      <c r="E11" s="153" t="s">
        <v>376</v>
      </c>
      <c r="F11" s="151" t="s">
        <v>289</v>
      </c>
      <c r="G11" s="153" t="s">
        <v>386</v>
      </c>
      <c r="H11" s="157" t="s">
        <v>390</v>
      </c>
    </row>
    <row r="12" customFormat="false" ht="18" hidden="false" customHeight="true" outlineLevel="0" collapsed="false">
      <c r="A12" s="148" t="s">
        <v>391</v>
      </c>
      <c r="B12" s="149" t="n">
        <v>1</v>
      </c>
      <c r="C12" s="150" t="n">
        <v>199.74</v>
      </c>
      <c r="D12" s="60" t="n">
        <f aca="false">B12*C12</f>
        <v>199.74</v>
      </c>
      <c r="E12" s="148" t="s">
        <v>392</v>
      </c>
      <c r="F12" s="151" t="s">
        <v>289</v>
      </c>
      <c r="G12" s="148" t="s">
        <v>386</v>
      </c>
      <c r="H12" s="152"/>
    </row>
    <row r="13" customFormat="false" ht="18" hidden="false" customHeight="true" outlineLevel="0" collapsed="false">
      <c r="A13" s="153" t="s">
        <v>393</v>
      </c>
      <c r="B13" s="154" t="n">
        <v>1</v>
      </c>
      <c r="C13" s="155" t="n">
        <v>126</v>
      </c>
      <c r="D13" s="60" t="n">
        <f aca="false">B13*C13</f>
        <v>126</v>
      </c>
      <c r="E13" s="153" t="s">
        <v>394</v>
      </c>
      <c r="F13" s="151" t="s">
        <v>289</v>
      </c>
      <c r="G13" s="153" t="s">
        <v>386</v>
      </c>
      <c r="H13" s="157"/>
    </row>
    <row r="14" customFormat="false" ht="18" hidden="false" customHeight="true" outlineLevel="0" collapsed="false">
      <c r="A14" s="148" t="s">
        <v>395</v>
      </c>
      <c r="B14" s="149" t="n">
        <v>1</v>
      </c>
      <c r="C14" s="150" t="n">
        <v>288.93</v>
      </c>
      <c r="D14" s="60" t="n">
        <f aca="false">B14*C14</f>
        <v>288.93</v>
      </c>
      <c r="E14" s="148" t="s">
        <v>396</v>
      </c>
      <c r="F14" s="151" t="s">
        <v>289</v>
      </c>
      <c r="G14" s="148" t="s">
        <v>386</v>
      </c>
      <c r="H14" s="152"/>
    </row>
    <row r="15" customFormat="false" ht="18" hidden="false" customHeight="true" outlineLevel="0" collapsed="false">
      <c r="A15" s="153" t="s">
        <v>397</v>
      </c>
      <c r="B15" s="154" t="n">
        <v>1</v>
      </c>
      <c r="C15" s="155" t="n">
        <v>169.4</v>
      </c>
      <c r="D15" s="60" t="n">
        <f aca="false">B15*C15</f>
        <v>169.4</v>
      </c>
      <c r="E15" s="153" t="s">
        <v>394</v>
      </c>
      <c r="F15" s="151" t="s">
        <v>289</v>
      </c>
      <c r="G15" s="153" t="s">
        <v>386</v>
      </c>
      <c r="H15" s="157"/>
    </row>
    <row r="16" customFormat="false" ht="18" hidden="false" customHeight="true" outlineLevel="0" collapsed="false">
      <c r="A16" s="148" t="s">
        <v>398</v>
      </c>
      <c r="B16" s="149" t="n">
        <v>1</v>
      </c>
      <c r="C16" s="150" t="n">
        <v>100.1</v>
      </c>
      <c r="D16" s="60" t="n">
        <f aca="false">B16*C16</f>
        <v>100.1</v>
      </c>
      <c r="E16" s="148" t="s">
        <v>394</v>
      </c>
      <c r="F16" s="151" t="s">
        <v>289</v>
      </c>
      <c r="G16" s="148" t="s">
        <v>386</v>
      </c>
      <c r="H16" s="152"/>
    </row>
    <row r="17" customFormat="false" ht="18" hidden="false" customHeight="true" outlineLevel="0" collapsed="false">
      <c r="A17" s="153" t="s">
        <v>399</v>
      </c>
      <c r="B17" s="154" t="n">
        <v>1</v>
      </c>
      <c r="C17" s="155" t="n">
        <v>645.95</v>
      </c>
      <c r="D17" s="60" t="n">
        <f aca="false">B17*C17</f>
        <v>645.95</v>
      </c>
      <c r="E17" s="153" t="s">
        <v>400</v>
      </c>
      <c r="F17" s="151" t="s">
        <v>289</v>
      </c>
      <c r="G17" s="153" t="s">
        <v>386</v>
      </c>
      <c r="H17" s="157"/>
    </row>
    <row r="18" customFormat="false" ht="18" hidden="false" customHeight="true" outlineLevel="0" collapsed="false">
      <c r="A18" s="148" t="s">
        <v>401</v>
      </c>
      <c r="B18" s="149" t="n">
        <v>1</v>
      </c>
      <c r="C18" s="150" t="n">
        <v>1525.5</v>
      </c>
      <c r="D18" s="60" t="n">
        <f aca="false">B18*C18</f>
        <v>1525.5</v>
      </c>
      <c r="E18" s="148" t="s">
        <v>220</v>
      </c>
      <c r="F18" s="151" t="s">
        <v>289</v>
      </c>
      <c r="G18" s="148" t="s">
        <v>402</v>
      </c>
      <c r="H18" s="152" t="s">
        <v>403</v>
      </c>
    </row>
    <row r="19" customFormat="false" ht="18" hidden="false" customHeight="true" outlineLevel="0" collapsed="false">
      <c r="A19" s="153" t="s">
        <v>404</v>
      </c>
      <c r="B19" s="154" t="n">
        <v>1</v>
      </c>
      <c r="C19" s="155" t="n">
        <v>625</v>
      </c>
      <c r="D19" s="60" t="n">
        <f aca="false">B19*C19</f>
        <v>625</v>
      </c>
      <c r="E19" s="153" t="s">
        <v>372</v>
      </c>
      <c r="F19" s="151" t="s">
        <v>289</v>
      </c>
      <c r="G19" s="153" t="s">
        <v>402</v>
      </c>
      <c r="H19" s="157"/>
    </row>
    <row r="20" customFormat="false" ht="18" hidden="false" customHeight="true" outlineLevel="0" collapsed="false">
      <c r="A20" s="148" t="s">
        <v>405</v>
      </c>
      <c r="B20" s="149" t="n">
        <v>1</v>
      </c>
      <c r="C20" s="150" t="n">
        <v>1894.07</v>
      </c>
      <c r="D20" s="60" t="n">
        <f aca="false">B20*C20</f>
        <v>1894.07</v>
      </c>
      <c r="E20" s="148" t="s">
        <v>376</v>
      </c>
      <c r="F20" s="151" t="s">
        <v>289</v>
      </c>
      <c r="G20" s="148" t="s">
        <v>402</v>
      </c>
      <c r="H20" s="152" t="s">
        <v>390</v>
      </c>
    </row>
    <row r="21" customFormat="false" ht="18" hidden="false" customHeight="true" outlineLevel="0" collapsed="false">
      <c r="A21" s="153" t="s">
        <v>406</v>
      </c>
      <c r="B21" s="154" t="n">
        <v>1</v>
      </c>
      <c r="C21" s="155" t="n">
        <v>199.74</v>
      </c>
      <c r="D21" s="60" t="n">
        <f aca="false">B21*C21</f>
        <v>199.74</v>
      </c>
      <c r="E21" s="153" t="s">
        <v>392</v>
      </c>
      <c r="F21" s="151" t="s">
        <v>289</v>
      </c>
      <c r="G21" s="153" t="s">
        <v>402</v>
      </c>
      <c r="H21" s="157"/>
    </row>
    <row r="22" customFormat="false" ht="18" hidden="false" customHeight="true" outlineLevel="0" collapsed="false">
      <c r="A22" s="148" t="s">
        <v>407</v>
      </c>
      <c r="B22" s="149" t="n">
        <v>1</v>
      </c>
      <c r="C22" s="150" t="n">
        <v>126</v>
      </c>
      <c r="D22" s="60" t="n">
        <f aca="false">B22*C22</f>
        <v>126</v>
      </c>
      <c r="E22" s="148" t="s">
        <v>394</v>
      </c>
      <c r="F22" s="151" t="s">
        <v>289</v>
      </c>
      <c r="G22" s="148" t="s">
        <v>402</v>
      </c>
      <c r="H22" s="152"/>
    </row>
    <row r="23" customFormat="false" ht="18" hidden="false" customHeight="true" outlineLevel="0" collapsed="false">
      <c r="A23" s="153" t="s">
        <v>408</v>
      </c>
      <c r="B23" s="154" t="n">
        <v>1</v>
      </c>
      <c r="C23" s="155" t="n">
        <v>288.93</v>
      </c>
      <c r="D23" s="60" t="n">
        <f aca="false">B23*C23</f>
        <v>288.93</v>
      </c>
      <c r="E23" s="153" t="s">
        <v>396</v>
      </c>
      <c r="F23" s="151" t="s">
        <v>289</v>
      </c>
      <c r="G23" s="153" t="s">
        <v>402</v>
      </c>
      <c r="H23" s="157"/>
    </row>
    <row r="24" customFormat="false" ht="18" hidden="false" customHeight="true" outlineLevel="0" collapsed="false">
      <c r="A24" s="148" t="s">
        <v>409</v>
      </c>
      <c r="B24" s="149" t="n">
        <v>1</v>
      </c>
      <c r="C24" s="150" t="n">
        <v>169.4</v>
      </c>
      <c r="D24" s="60" t="n">
        <f aca="false">B24*C24</f>
        <v>169.4</v>
      </c>
      <c r="E24" s="148" t="s">
        <v>394</v>
      </c>
      <c r="F24" s="151" t="s">
        <v>289</v>
      </c>
      <c r="G24" s="148" t="s">
        <v>402</v>
      </c>
      <c r="H24" s="152"/>
    </row>
    <row r="25" customFormat="false" ht="18" hidden="false" customHeight="true" outlineLevel="0" collapsed="false">
      <c r="A25" s="153" t="s">
        <v>410</v>
      </c>
      <c r="B25" s="154" t="n">
        <v>1</v>
      </c>
      <c r="C25" s="155" t="n">
        <v>100.1</v>
      </c>
      <c r="D25" s="60" t="n">
        <f aca="false">B25*C25</f>
        <v>100.1</v>
      </c>
      <c r="E25" s="153" t="s">
        <v>394</v>
      </c>
      <c r="F25" s="151" t="s">
        <v>289</v>
      </c>
      <c r="G25" s="153" t="s">
        <v>402</v>
      </c>
      <c r="H25" s="157" t="s">
        <v>411</v>
      </c>
    </row>
    <row r="26" customFormat="false" ht="15" hidden="false" customHeight="true" outlineLevel="0" collapsed="false">
      <c r="A26" s="158" t="s">
        <v>412</v>
      </c>
      <c r="B26" s="158"/>
      <c r="C26" s="158"/>
      <c r="D26" s="159" t="n">
        <f aca="false">SUM(D4:D25)</f>
        <v>14542.59</v>
      </c>
      <c r="E26" s="160"/>
      <c r="F26" s="160"/>
      <c r="G26" s="160"/>
      <c r="H26" s="160"/>
    </row>
    <row r="28" customFormat="false" ht="15.75" hidden="false" customHeight="true" outlineLevel="0" collapsed="false">
      <c r="A28" s="161" t="s">
        <v>413</v>
      </c>
      <c r="B28" s="161"/>
      <c r="C28" s="161"/>
      <c r="D28" s="161"/>
      <c r="E28" s="161"/>
      <c r="F28" s="161"/>
      <c r="G28" s="161"/>
      <c r="H28" s="161"/>
    </row>
    <row r="29" customFormat="false" ht="18" hidden="false" customHeight="true" outlineLevel="0" collapsed="false">
      <c r="A29" s="162" t="s">
        <v>414</v>
      </c>
      <c r="B29" s="162"/>
      <c r="C29" s="162"/>
      <c r="D29" s="163" t="n">
        <v>5574.69</v>
      </c>
      <c r="E29" s="164" t="s">
        <v>415</v>
      </c>
      <c r="F29" s="165" t="n">
        <v>7715.95</v>
      </c>
      <c r="G29" s="165" t="n">
        <v>2141.26</v>
      </c>
      <c r="H29" s="166" t="s">
        <v>416</v>
      </c>
    </row>
    <row r="30" customFormat="false" ht="18" hidden="false" customHeight="true" outlineLevel="0" collapsed="false">
      <c r="A30" s="162" t="s">
        <v>417</v>
      </c>
      <c r="B30" s="162"/>
      <c r="C30" s="162"/>
      <c r="D30" s="163" t="n">
        <v>4928.74</v>
      </c>
      <c r="E30" s="164" t="s">
        <v>415</v>
      </c>
      <c r="F30" s="165" t="n">
        <v>5603</v>
      </c>
      <c r="G30" s="165" t="n">
        <v>674.26</v>
      </c>
      <c r="H30" s="166" t="s">
        <v>416</v>
      </c>
    </row>
  </sheetData>
  <mergeCells count="6">
    <mergeCell ref="A1:H1"/>
    <mergeCell ref="A2:H2"/>
    <mergeCell ref="A26:C26"/>
    <mergeCell ref="A28:H28"/>
    <mergeCell ref="A29:C29"/>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5"/>
  <sheetViews>
    <sheetView showFormulas="false" showGridLines="true" showRowColHeaders="true" showZeros="true" rightToLeft="false" tabSelected="false" showOutlineSymbols="true" defaultGridColor="true" view="normal" topLeftCell="A883" colorId="64" zoomScale="115" zoomScaleNormal="115" zoomScalePageLayoutView="100" workbookViewId="0">
      <selection pane="topLeft" activeCell="A1" activeCellId="0" sqref="A1"/>
    </sheetView>
  </sheetViews>
  <sheetFormatPr defaultColWidth="8.55859375" defaultRowHeight="14.25" zeroHeight="false" outlineLevelRow="0" outlineLevelCol="0"/>
  <cols>
    <col collapsed="false" customWidth="true" hidden="false" outlineLevel="0" max="1" min="1" style="1" width="112"/>
    <col collapsed="false" customWidth="true" hidden="false" outlineLevel="0" max="2" min="2" style="1" width="12"/>
    <col collapsed="false" customWidth="true" hidden="false" outlineLevel="0" max="3" min="3" style="1" width="14"/>
    <col collapsed="false" customWidth="true" hidden="false" outlineLevel="0" max="4" min="4" style="1" width="12"/>
    <col collapsed="false" customWidth="true" hidden="false" outlineLevel="0" max="5" min="5" style="1" width="14"/>
    <col collapsed="false" customWidth="true" hidden="false" outlineLevel="0" max="6" min="6" style="1" width="22"/>
    <col collapsed="false" customWidth="true" hidden="false" outlineLevel="0" max="7" min="7" style="1" width="35"/>
  </cols>
  <sheetData>
    <row r="1" customFormat="false" ht="21" hidden="false" customHeight="true" outlineLevel="0" collapsed="false">
      <c r="A1" s="167" t="s">
        <v>418</v>
      </c>
      <c r="B1" s="168" t="s">
        <v>419</v>
      </c>
      <c r="C1" s="169"/>
      <c r="D1" s="169"/>
      <c r="E1" s="169"/>
      <c r="F1" s="169"/>
    </row>
    <row r="2" customFormat="false" ht="14.25" hidden="false" customHeight="true" outlineLevel="0" collapsed="false">
      <c r="A2" s="170" t="s">
        <v>420</v>
      </c>
      <c r="B2" s="169"/>
      <c r="C2" s="169"/>
      <c r="D2" s="169"/>
      <c r="E2" s="169"/>
      <c r="F2" s="169"/>
    </row>
    <row r="3" customFormat="false" ht="14.25" hidden="false" customHeight="true" outlineLevel="0" collapsed="false">
      <c r="A3" s="171"/>
      <c r="B3" s="171"/>
      <c r="C3" s="172" t="s">
        <v>421</v>
      </c>
      <c r="D3" s="172" t="s">
        <v>422</v>
      </c>
      <c r="E3" s="172" t="s">
        <v>423</v>
      </c>
      <c r="F3" s="171"/>
    </row>
    <row r="4" customFormat="false" ht="14.25" hidden="false" customHeight="true" outlineLevel="0" collapsed="false">
      <c r="A4" s="173" t="s">
        <v>424</v>
      </c>
      <c r="B4" s="174" t="s">
        <v>4</v>
      </c>
      <c r="C4" s="175" t="s">
        <v>425</v>
      </c>
      <c r="D4" s="175" t="s">
        <v>426</v>
      </c>
      <c r="E4" s="175" t="s">
        <v>427</v>
      </c>
      <c r="F4" s="174" t="s">
        <v>7</v>
      </c>
    </row>
    <row r="5" customFormat="false" ht="14.25" hidden="false" customHeight="true" outlineLevel="0" collapsed="false">
      <c r="A5" s="176" t="s">
        <v>428</v>
      </c>
      <c r="B5" s="177" t="n">
        <v>999</v>
      </c>
      <c r="C5" s="177" t="n">
        <v>849.15</v>
      </c>
      <c r="D5" s="177" t="n">
        <v>749.25</v>
      </c>
      <c r="E5" s="178" t="n">
        <v>699.3</v>
      </c>
      <c r="F5" s="179" t="s">
        <v>429</v>
      </c>
    </row>
    <row r="6" customFormat="false" ht="14.25" hidden="false" customHeight="true" outlineLevel="0" collapsed="false">
      <c r="A6" s="176" t="s">
        <v>428</v>
      </c>
      <c r="B6" s="177" t="n">
        <v>1049</v>
      </c>
      <c r="C6" s="177" t="n">
        <v>891.65</v>
      </c>
      <c r="D6" s="177" t="n">
        <v>786.75</v>
      </c>
      <c r="E6" s="178" t="n">
        <v>734.3</v>
      </c>
      <c r="F6" s="179" t="s">
        <v>55</v>
      </c>
    </row>
    <row r="7" customFormat="false" ht="14.25" hidden="false" customHeight="true" outlineLevel="0" collapsed="false">
      <c r="A7" s="176" t="s">
        <v>430</v>
      </c>
      <c r="B7" s="177" t="n">
        <v>999</v>
      </c>
      <c r="C7" s="177" t="n">
        <v>849.15</v>
      </c>
      <c r="D7" s="177" t="n">
        <v>749.25</v>
      </c>
      <c r="E7" s="178" t="n">
        <v>699.3</v>
      </c>
      <c r="F7" s="179" t="s">
        <v>429</v>
      </c>
    </row>
    <row r="8" customFormat="false" ht="14.25" hidden="false" customHeight="true" outlineLevel="0" collapsed="false">
      <c r="A8" s="176" t="s">
        <v>430</v>
      </c>
      <c r="B8" s="177" t="n">
        <v>1049</v>
      </c>
      <c r="C8" s="177" t="n">
        <v>891.65</v>
      </c>
      <c r="D8" s="177" t="n">
        <v>786.75</v>
      </c>
      <c r="E8" s="178" t="n">
        <v>734.3</v>
      </c>
      <c r="F8" s="179" t="s">
        <v>55</v>
      </c>
    </row>
    <row r="9" customFormat="false" ht="14.25" hidden="false" customHeight="true" outlineLevel="0" collapsed="false">
      <c r="A9" s="176" t="s">
        <v>431</v>
      </c>
      <c r="B9" s="177" t="n">
        <v>1099</v>
      </c>
      <c r="C9" s="177" t="n">
        <v>934.15</v>
      </c>
      <c r="D9" s="177" t="n">
        <v>824.25</v>
      </c>
      <c r="E9" s="178" t="n">
        <v>769.3</v>
      </c>
      <c r="F9" s="171"/>
    </row>
    <row r="10" customFormat="false" ht="14.25" hidden="false" customHeight="true" outlineLevel="0" collapsed="false">
      <c r="A10" s="176" t="s">
        <v>432</v>
      </c>
      <c r="B10" s="177" t="n">
        <v>1099</v>
      </c>
      <c r="C10" s="177" t="n">
        <v>934.15</v>
      </c>
      <c r="D10" s="177" t="n">
        <v>824.25</v>
      </c>
      <c r="E10" s="178" t="n">
        <v>769.3</v>
      </c>
      <c r="F10" s="171"/>
    </row>
    <row r="11" customFormat="false" ht="14.25" hidden="false" customHeight="true" outlineLevel="0" collapsed="false">
      <c r="A11" s="176" t="s">
        <v>433</v>
      </c>
      <c r="B11" s="177" t="n">
        <v>1149</v>
      </c>
      <c r="C11" s="177" t="n">
        <v>976.65</v>
      </c>
      <c r="D11" s="177" t="n">
        <v>861.75</v>
      </c>
      <c r="E11" s="178" t="n">
        <v>804.3</v>
      </c>
      <c r="F11" s="171"/>
    </row>
    <row r="12" customFormat="false" ht="14.25" hidden="false" customHeight="true" outlineLevel="0" collapsed="false">
      <c r="A12" s="176" t="s">
        <v>434</v>
      </c>
      <c r="B12" s="177" t="n">
        <v>1199</v>
      </c>
      <c r="C12" s="177" t="n">
        <v>1019.15</v>
      </c>
      <c r="D12" s="177" t="n">
        <v>899.25</v>
      </c>
      <c r="E12" s="178" t="n">
        <v>839.3</v>
      </c>
      <c r="F12" s="171"/>
    </row>
    <row r="13" customFormat="false" ht="14.25" hidden="false" customHeight="true" outlineLevel="0" collapsed="false">
      <c r="A13" s="176" t="s">
        <v>435</v>
      </c>
      <c r="B13" s="177" t="n">
        <v>1199</v>
      </c>
      <c r="C13" s="177" t="n">
        <v>1019.15</v>
      </c>
      <c r="D13" s="177" t="n">
        <v>899.25</v>
      </c>
      <c r="E13" s="178" t="n">
        <v>839.3</v>
      </c>
      <c r="F13" s="171"/>
    </row>
    <row r="14" customFormat="false" ht="14.25" hidden="false" customHeight="true" outlineLevel="0" collapsed="false">
      <c r="A14" s="176" t="s">
        <v>436</v>
      </c>
      <c r="B14" s="177" t="n">
        <v>1249</v>
      </c>
      <c r="C14" s="177" t="n">
        <v>1061.65</v>
      </c>
      <c r="D14" s="177" t="n">
        <v>936.75</v>
      </c>
      <c r="E14" s="178" t="n">
        <v>874.3</v>
      </c>
      <c r="F14" s="171"/>
    </row>
    <row r="15" customFormat="false" ht="14.25" hidden="false" customHeight="true" outlineLevel="0" collapsed="false">
      <c r="A15" s="176" t="s">
        <v>437</v>
      </c>
      <c r="B15" s="177" t="n">
        <v>1149</v>
      </c>
      <c r="C15" s="177" t="n">
        <v>976.65</v>
      </c>
      <c r="D15" s="177" t="n">
        <v>861.75</v>
      </c>
      <c r="E15" s="178" t="n">
        <v>804.3</v>
      </c>
      <c r="F15" s="171"/>
    </row>
    <row r="16" customFormat="false" ht="14.25" hidden="false" customHeight="true" outlineLevel="0" collapsed="false">
      <c r="A16" s="176" t="s">
        <v>438</v>
      </c>
      <c r="B16" s="177" t="n">
        <v>1149</v>
      </c>
      <c r="C16" s="177" t="n">
        <v>976.65</v>
      </c>
      <c r="D16" s="177" t="n">
        <v>861.75</v>
      </c>
      <c r="E16" s="178" t="n">
        <v>804.3</v>
      </c>
      <c r="F16" s="171"/>
    </row>
    <row r="17" customFormat="false" ht="14.25" hidden="false" customHeight="true" outlineLevel="0" collapsed="false">
      <c r="A17" s="176" t="s">
        <v>439</v>
      </c>
      <c r="B17" s="177" t="n">
        <v>1199</v>
      </c>
      <c r="C17" s="177" t="n">
        <v>1019.15</v>
      </c>
      <c r="D17" s="177" t="n">
        <v>899.25</v>
      </c>
      <c r="E17" s="178" t="n">
        <v>839.3</v>
      </c>
      <c r="F17" s="171"/>
    </row>
    <row r="18" customFormat="false" ht="14.25" hidden="false" customHeight="true" outlineLevel="0" collapsed="false">
      <c r="A18" s="176" t="s">
        <v>440</v>
      </c>
      <c r="B18" s="177" t="n">
        <v>999</v>
      </c>
      <c r="C18" s="177" t="n">
        <v>849.15</v>
      </c>
      <c r="D18" s="177" t="n">
        <v>749.25</v>
      </c>
      <c r="E18" s="178" t="n">
        <v>699.3</v>
      </c>
      <c r="F18" s="171"/>
    </row>
    <row r="19" customFormat="false" ht="14.25" hidden="false" customHeight="true" outlineLevel="0" collapsed="false">
      <c r="A19" s="176" t="s">
        <v>441</v>
      </c>
      <c r="B19" s="177" t="n">
        <v>1400</v>
      </c>
      <c r="C19" s="177" t="n">
        <v>1190</v>
      </c>
      <c r="D19" s="177" t="n">
        <v>1050</v>
      </c>
      <c r="E19" s="178" t="n">
        <v>980</v>
      </c>
      <c r="F19" s="179" t="s">
        <v>442</v>
      </c>
    </row>
    <row r="20" customFormat="false" ht="14.25" hidden="false" customHeight="true" outlineLevel="0" collapsed="false">
      <c r="A20" s="176" t="s">
        <v>441</v>
      </c>
      <c r="B20" s="177" t="n">
        <v>1450</v>
      </c>
      <c r="C20" s="177" t="n">
        <v>1232.5</v>
      </c>
      <c r="D20" s="177" t="n">
        <v>1087.5</v>
      </c>
      <c r="E20" s="178" t="n">
        <v>1015</v>
      </c>
      <c r="F20" s="179" t="s">
        <v>443</v>
      </c>
    </row>
    <row r="21" customFormat="false" ht="14.25" hidden="false" customHeight="true" outlineLevel="0" collapsed="false">
      <c r="A21" s="176" t="s">
        <v>441</v>
      </c>
      <c r="B21" s="177" t="n">
        <v>1500</v>
      </c>
      <c r="C21" s="177" t="n">
        <v>1275</v>
      </c>
      <c r="D21" s="177" t="n">
        <v>1125</v>
      </c>
      <c r="E21" s="178" t="n">
        <v>1050</v>
      </c>
      <c r="F21" s="179" t="s">
        <v>444</v>
      </c>
    </row>
    <row r="22" customFormat="false" ht="14.25" hidden="false" customHeight="true" outlineLevel="0" collapsed="false">
      <c r="A22" s="176" t="s">
        <v>445</v>
      </c>
      <c r="B22" s="177" t="n">
        <v>1600</v>
      </c>
      <c r="C22" s="177" t="n">
        <v>1360</v>
      </c>
      <c r="D22" s="177" t="n">
        <v>1200</v>
      </c>
      <c r="E22" s="178" t="n">
        <v>1120</v>
      </c>
      <c r="F22" s="171"/>
    </row>
    <row r="23" customFormat="false" ht="14.25" hidden="false" customHeight="true" outlineLevel="0" collapsed="false">
      <c r="A23" s="176" t="s">
        <v>446</v>
      </c>
      <c r="B23" s="177" t="n">
        <v>1450</v>
      </c>
      <c r="C23" s="177" t="n">
        <v>1232.5</v>
      </c>
      <c r="D23" s="177" t="n">
        <v>1087.5</v>
      </c>
      <c r="E23" s="178" t="n">
        <v>1015</v>
      </c>
      <c r="F23" s="171"/>
    </row>
    <row r="24" customFormat="false" ht="14.25" hidden="false" customHeight="true" outlineLevel="0" collapsed="false">
      <c r="A24" s="176" t="s">
        <v>447</v>
      </c>
      <c r="B24" s="177" t="n">
        <v>1500</v>
      </c>
      <c r="C24" s="177" t="n">
        <v>1275</v>
      </c>
      <c r="D24" s="177" t="n">
        <v>1125</v>
      </c>
      <c r="E24" s="178" t="n">
        <v>1050</v>
      </c>
      <c r="F24" s="171"/>
    </row>
    <row r="25" customFormat="false" ht="14.25" hidden="false" customHeight="true" outlineLevel="0" collapsed="false">
      <c r="A25" s="180" t="s">
        <v>448</v>
      </c>
      <c r="B25" s="181" t="n">
        <v>1500</v>
      </c>
      <c r="C25" s="181" t="n">
        <v>1275</v>
      </c>
      <c r="D25" s="177" t="n">
        <v>1125</v>
      </c>
      <c r="E25" s="178" t="n">
        <v>1050</v>
      </c>
      <c r="F25" s="171"/>
    </row>
    <row r="26" customFormat="false" ht="14.25" hidden="false" customHeight="true" outlineLevel="0" collapsed="false">
      <c r="A26" s="176" t="s">
        <v>449</v>
      </c>
      <c r="B26" s="177" t="n">
        <v>1550</v>
      </c>
      <c r="C26" s="177" t="n">
        <v>1317.5</v>
      </c>
      <c r="D26" s="177" t="n">
        <v>1162.5</v>
      </c>
      <c r="E26" s="178" t="n">
        <v>1085</v>
      </c>
      <c r="F26" s="171"/>
    </row>
    <row r="27" customFormat="false" ht="14.25" hidden="false" customHeight="true" outlineLevel="0" collapsed="false">
      <c r="A27" s="176" t="s">
        <v>450</v>
      </c>
      <c r="B27" s="177" t="n">
        <v>1600</v>
      </c>
      <c r="C27" s="177" t="n">
        <v>1360</v>
      </c>
      <c r="D27" s="177" t="n">
        <v>1200</v>
      </c>
      <c r="E27" s="178" t="n">
        <v>1120</v>
      </c>
      <c r="F27" s="171"/>
    </row>
    <row r="28" customFormat="false" ht="14.25" hidden="false" customHeight="true" outlineLevel="0" collapsed="false">
      <c r="A28" s="176" t="s">
        <v>451</v>
      </c>
      <c r="B28" s="177" t="n">
        <v>1600</v>
      </c>
      <c r="C28" s="177" t="n">
        <v>1360</v>
      </c>
      <c r="D28" s="177" t="n">
        <v>1200</v>
      </c>
      <c r="E28" s="178" t="n">
        <v>1120</v>
      </c>
      <c r="F28" s="171"/>
    </row>
    <row r="29" customFormat="false" ht="14.25" hidden="false" customHeight="true" outlineLevel="0" collapsed="false">
      <c r="A29" s="171"/>
      <c r="B29" s="171"/>
      <c r="C29" s="171"/>
      <c r="D29" s="171"/>
      <c r="E29" s="171"/>
      <c r="F29" s="171"/>
    </row>
    <row r="30" customFormat="false" ht="14.25" hidden="false" customHeight="true" outlineLevel="0" collapsed="false">
      <c r="A30" s="173" t="s">
        <v>452</v>
      </c>
      <c r="B30" s="174" t="s">
        <v>4</v>
      </c>
      <c r="C30" s="174" t="s">
        <v>49</v>
      </c>
      <c r="D30" s="174" t="s">
        <v>453</v>
      </c>
      <c r="E30" s="174" t="s">
        <v>454</v>
      </c>
      <c r="F30" s="174" t="s">
        <v>7</v>
      </c>
    </row>
    <row r="31" customFormat="false" ht="14.25" hidden="false" customHeight="true" outlineLevel="0" collapsed="false">
      <c r="A31" s="176" t="s">
        <v>455</v>
      </c>
      <c r="B31" s="177" t="n">
        <v>500</v>
      </c>
      <c r="C31" s="177" t="n">
        <v>425</v>
      </c>
      <c r="D31" s="177" t="n">
        <v>375</v>
      </c>
      <c r="E31" s="177" t="n">
        <v>350</v>
      </c>
      <c r="F31" s="171"/>
    </row>
    <row r="32" customFormat="false" ht="14.25" hidden="false" customHeight="true" outlineLevel="0" collapsed="false">
      <c r="A32" s="176" t="s">
        <v>456</v>
      </c>
      <c r="B32" s="177" t="n">
        <v>500</v>
      </c>
      <c r="C32" s="177" t="n">
        <v>425</v>
      </c>
      <c r="D32" s="177" t="n">
        <v>375</v>
      </c>
      <c r="E32" s="177" t="n">
        <v>350</v>
      </c>
      <c r="F32" s="171"/>
    </row>
    <row r="33" customFormat="false" ht="14.25" hidden="false" customHeight="true" outlineLevel="0" collapsed="false">
      <c r="A33" s="176" t="s">
        <v>457</v>
      </c>
      <c r="B33" s="177" t="n">
        <v>50</v>
      </c>
      <c r="C33" s="177" t="n">
        <v>42.5</v>
      </c>
      <c r="D33" s="177" t="n">
        <v>37.5</v>
      </c>
      <c r="E33" s="177" t="n">
        <v>35</v>
      </c>
      <c r="F33" s="171"/>
    </row>
    <row r="34" customFormat="false" ht="14.25" hidden="false" customHeight="true" outlineLevel="0" collapsed="false">
      <c r="A34" s="176" t="s">
        <v>458</v>
      </c>
      <c r="B34" s="177" t="n">
        <v>50</v>
      </c>
      <c r="C34" s="177" t="n">
        <v>42.5</v>
      </c>
      <c r="D34" s="177" t="n">
        <v>37.5</v>
      </c>
      <c r="E34" s="177" t="n">
        <v>35</v>
      </c>
      <c r="F34" s="171"/>
    </row>
    <row r="35" customFormat="false" ht="14.25" hidden="false" customHeight="true" outlineLevel="0" collapsed="false">
      <c r="A35" s="176" t="s">
        <v>459</v>
      </c>
      <c r="B35" s="177" t="n">
        <v>50</v>
      </c>
      <c r="C35" s="177" t="n">
        <v>42.5</v>
      </c>
      <c r="D35" s="177" t="n">
        <v>37.5</v>
      </c>
      <c r="E35" s="177" t="n">
        <v>35</v>
      </c>
      <c r="F35" s="171"/>
    </row>
    <row r="36" customFormat="false" ht="14.25" hidden="false" customHeight="true" outlineLevel="0" collapsed="false">
      <c r="A36" s="171"/>
      <c r="B36" s="171"/>
      <c r="C36" s="171"/>
      <c r="D36" s="171"/>
      <c r="E36" s="171"/>
      <c r="F36" s="171"/>
    </row>
    <row r="37" customFormat="false" ht="14.25" hidden="false" customHeight="true" outlineLevel="0" collapsed="false">
      <c r="A37" s="173" t="s">
        <v>460</v>
      </c>
      <c r="B37" s="174" t="s">
        <v>4</v>
      </c>
      <c r="C37" s="174" t="s">
        <v>49</v>
      </c>
      <c r="D37" s="174" t="s">
        <v>453</v>
      </c>
      <c r="E37" s="174" t="s">
        <v>454</v>
      </c>
      <c r="F37" s="174" t="s">
        <v>7</v>
      </c>
    </row>
    <row r="38" customFormat="false" ht="14.25" hidden="false" customHeight="true" outlineLevel="0" collapsed="false">
      <c r="A38" s="176" t="s">
        <v>461</v>
      </c>
      <c r="B38" s="177" t="n">
        <v>10</v>
      </c>
      <c r="C38" s="177" t="n">
        <v>8.5</v>
      </c>
      <c r="D38" s="177" t="n">
        <v>7.5</v>
      </c>
      <c r="E38" s="177" t="n">
        <v>7</v>
      </c>
      <c r="F38" s="171"/>
    </row>
    <row r="39" customFormat="false" ht="14.25" hidden="false" customHeight="true" outlineLevel="0" collapsed="false">
      <c r="A39" s="176" t="s">
        <v>462</v>
      </c>
      <c r="B39" s="177" t="n">
        <v>10</v>
      </c>
      <c r="C39" s="177" t="n">
        <v>8.5</v>
      </c>
      <c r="D39" s="177" t="n">
        <v>7.5</v>
      </c>
      <c r="E39" s="177" t="n">
        <v>7</v>
      </c>
      <c r="F39" s="171"/>
    </row>
    <row r="40" customFormat="false" ht="14.25" hidden="false" customHeight="true" outlineLevel="0" collapsed="false">
      <c r="A40" s="176" t="s">
        <v>463</v>
      </c>
      <c r="B40" s="177" t="n">
        <v>80</v>
      </c>
      <c r="C40" s="177" t="n">
        <v>68</v>
      </c>
      <c r="D40" s="177" t="n">
        <v>60</v>
      </c>
      <c r="E40" s="177" t="n">
        <v>56</v>
      </c>
      <c r="F40" s="171"/>
    </row>
    <row r="41" customFormat="false" ht="14.25" hidden="false" customHeight="true" outlineLevel="0" collapsed="false">
      <c r="A41" s="176" t="s">
        <v>464</v>
      </c>
      <c r="B41" s="177" t="n">
        <v>80</v>
      </c>
      <c r="C41" s="177" t="n">
        <v>68</v>
      </c>
      <c r="D41" s="177" t="n">
        <v>60</v>
      </c>
      <c r="E41" s="177" t="n">
        <v>56</v>
      </c>
      <c r="F41" s="171"/>
    </row>
    <row r="42" customFormat="false" ht="14.25" hidden="false" customHeight="true" outlineLevel="0" collapsed="false">
      <c r="A42" s="176" t="s">
        <v>465</v>
      </c>
      <c r="B42" s="177" t="n">
        <v>80</v>
      </c>
      <c r="C42" s="177" t="n">
        <v>68</v>
      </c>
      <c r="D42" s="177" t="n">
        <v>60</v>
      </c>
      <c r="E42" s="177" t="n">
        <v>56</v>
      </c>
      <c r="F42" s="171"/>
    </row>
    <row r="43" customFormat="false" ht="14.25" hidden="false" customHeight="true" outlineLevel="0" collapsed="false">
      <c r="A43" s="176" t="s">
        <v>466</v>
      </c>
      <c r="B43" s="177" t="n">
        <v>80</v>
      </c>
      <c r="C43" s="177" t="n">
        <v>68</v>
      </c>
      <c r="D43" s="177" t="n">
        <v>60</v>
      </c>
      <c r="E43" s="177" t="n">
        <v>56</v>
      </c>
      <c r="F43" s="171"/>
    </row>
    <row r="44" customFormat="false" ht="14.25" hidden="false" customHeight="true" outlineLevel="0" collapsed="false">
      <c r="A44" s="176" t="s">
        <v>467</v>
      </c>
      <c r="B44" s="177" t="n">
        <v>45</v>
      </c>
      <c r="C44" s="177" t="n">
        <v>38.25</v>
      </c>
      <c r="D44" s="177" t="n">
        <v>33.75</v>
      </c>
      <c r="E44" s="177" t="n">
        <v>31.5</v>
      </c>
      <c r="F44" s="171"/>
    </row>
    <row r="45" customFormat="false" ht="14.25" hidden="false" customHeight="true" outlineLevel="0" collapsed="false">
      <c r="A45" s="176" t="s">
        <v>468</v>
      </c>
      <c r="B45" s="177" t="n">
        <v>40</v>
      </c>
      <c r="C45" s="177" t="n">
        <v>34</v>
      </c>
      <c r="D45" s="177" t="n">
        <v>30</v>
      </c>
      <c r="E45" s="177" t="n">
        <v>28</v>
      </c>
      <c r="F45" s="171"/>
    </row>
    <row r="46" customFormat="false" ht="14.25" hidden="false" customHeight="true" outlineLevel="0" collapsed="false">
      <c r="A46" s="176" t="s">
        <v>469</v>
      </c>
      <c r="B46" s="177" t="n">
        <v>40</v>
      </c>
      <c r="C46" s="177" t="n">
        <v>34</v>
      </c>
      <c r="D46" s="177" t="n">
        <v>30</v>
      </c>
      <c r="E46" s="177" t="n">
        <v>28</v>
      </c>
      <c r="F46" s="171"/>
    </row>
    <row r="47" customFormat="false" ht="14.25" hidden="false" customHeight="true" outlineLevel="0" collapsed="false">
      <c r="A47" s="176" t="s">
        <v>470</v>
      </c>
      <c r="B47" s="177" t="n">
        <v>40</v>
      </c>
      <c r="C47" s="177" t="n">
        <v>34</v>
      </c>
      <c r="D47" s="177" t="n">
        <v>30</v>
      </c>
      <c r="E47" s="177" t="n">
        <v>28</v>
      </c>
      <c r="F47" s="171"/>
    </row>
    <row r="48" customFormat="false" ht="14.25" hidden="false" customHeight="true" outlineLevel="0" collapsed="false">
      <c r="A48" s="176" t="s">
        <v>471</v>
      </c>
      <c r="B48" s="177" t="n">
        <v>35</v>
      </c>
      <c r="C48" s="177" t="n">
        <v>29.75</v>
      </c>
      <c r="D48" s="177" t="n">
        <v>26.25</v>
      </c>
      <c r="E48" s="177" t="n">
        <v>24.5</v>
      </c>
      <c r="F48" s="171"/>
    </row>
    <row r="49" customFormat="false" ht="14.25" hidden="false" customHeight="true" outlineLevel="0" collapsed="false">
      <c r="A49" s="171"/>
      <c r="B49" s="171"/>
      <c r="C49" s="171"/>
      <c r="D49" s="171"/>
      <c r="E49" s="171"/>
      <c r="F49" s="171"/>
    </row>
    <row r="50" customFormat="false" ht="14.25" hidden="false" customHeight="true" outlineLevel="0" collapsed="false">
      <c r="A50" s="173" t="s">
        <v>472</v>
      </c>
      <c r="B50" s="174" t="s">
        <v>4</v>
      </c>
      <c r="C50" s="174" t="s">
        <v>49</v>
      </c>
      <c r="D50" s="174" t="s">
        <v>453</v>
      </c>
      <c r="E50" s="174" t="s">
        <v>454</v>
      </c>
      <c r="F50" s="174" t="s">
        <v>7</v>
      </c>
    </row>
    <row r="51" customFormat="false" ht="14.25" hidden="false" customHeight="true" outlineLevel="0" collapsed="false">
      <c r="A51" s="176" t="s">
        <v>473</v>
      </c>
      <c r="B51" s="177" t="n">
        <v>75</v>
      </c>
      <c r="C51" s="177" t="n">
        <v>63.75</v>
      </c>
      <c r="D51" s="177" t="n">
        <v>56.25</v>
      </c>
      <c r="E51" s="177" t="n">
        <v>52.5</v>
      </c>
      <c r="F51" s="171"/>
    </row>
    <row r="52" customFormat="false" ht="14.25" hidden="false" customHeight="true" outlineLevel="0" collapsed="false">
      <c r="A52" s="176" t="s">
        <v>474</v>
      </c>
      <c r="B52" s="177" t="n">
        <v>75</v>
      </c>
      <c r="C52" s="177" t="n">
        <v>63.75</v>
      </c>
      <c r="D52" s="177" t="n">
        <v>56.25</v>
      </c>
      <c r="E52" s="177" t="n">
        <v>52.5</v>
      </c>
      <c r="F52" s="171"/>
    </row>
    <row r="53" customFormat="false" ht="14.25" hidden="false" customHeight="true" outlineLevel="0" collapsed="false">
      <c r="A53" s="176" t="s">
        <v>475</v>
      </c>
      <c r="B53" s="177" t="n">
        <v>75</v>
      </c>
      <c r="C53" s="177" t="n">
        <v>63.75</v>
      </c>
      <c r="D53" s="177" t="n">
        <v>56.25</v>
      </c>
      <c r="E53" s="177" t="n">
        <v>52.5</v>
      </c>
      <c r="F53" s="171"/>
    </row>
    <row r="54" customFormat="false" ht="14.25" hidden="false" customHeight="true" outlineLevel="0" collapsed="false">
      <c r="A54" s="176" t="s">
        <v>476</v>
      </c>
      <c r="B54" s="177" t="n">
        <v>75</v>
      </c>
      <c r="C54" s="177" t="n">
        <v>63.75</v>
      </c>
      <c r="D54" s="177" t="n">
        <v>56.25</v>
      </c>
      <c r="E54" s="177" t="n">
        <v>52.5</v>
      </c>
      <c r="F54" s="171"/>
    </row>
    <row r="55" customFormat="false" ht="14.25" hidden="false" customHeight="true" outlineLevel="0" collapsed="false">
      <c r="A55" s="176" t="s">
        <v>477</v>
      </c>
      <c r="B55" s="177" t="n">
        <v>75</v>
      </c>
      <c r="C55" s="177" t="n">
        <v>63.75</v>
      </c>
      <c r="D55" s="177" t="n">
        <v>56.25</v>
      </c>
      <c r="E55" s="177" t="n">
        <v>52.5</v>
      </c>
      <c r="F55" s="171"/>
    </row>
    <row r="56" customFormat="false" ht="14.25" hidden="false" customHeight="true" outlineLevel="0" collapsed="false">
      <c r="A56" s="176" t="s">
        <v>478</v>
      </c>
      <c r="B56" s="177" t="n">
        <v>75</v>
      </c>
      <c r="C56" s="177" t="n">
        <v>63.75</v>
      </c>
      <c r="D56" s="177" t="n">
        <v>56.25</v>
      </c>
      <c r="E56" s="177" t="n">
        <v>52.5</v>
      </c>
      <c r="F56" s="171"/>
    </row>
    <row r="57" customFormat="false" ht="14.25" hidden="false" customHeight="true" outlineLevel="0" collapsed="false">
      <c r="A57" s="176" t="s">
        <v>479</v>
      </c>
      <c r="B57" s="177" t="n">
        <v>75</v>
      </c>
      <c r="C57" s="177" t="n">
        <v>63.75</v>
      </c>
      <c r="D57" s="177" t="n">
        <v>56.25</v>
      </c>
      <c r="E57" s="177" t="n">
        <v>52.5</v>
      </c>
      <c r="F57" s="171"/>
    </row>
    <row r="58" customFormat="false" ht="14.25" hidden="false" customHeight="true" outlineLevel="0" collapsed="false">
      <c r="A58" s="176" t="s">
        <v>480</v>
      </c>
      <c r="B58" s="177" t="n">
        <v>75</v>
      </c>
      <c r="C58" s="177" t="n">
        <v>63.75</v>
      </c>
      <c r="D58" s="177" t="n">
        <v>56.25</v>
      </c>
      <c r="E58" s="177" t="n">
        <v>52.5</v>
      </c>
      <c r="F58" s="171"/>
    </row>
    <row r="59" customFormat="false" ht="14.25" hidden="false" customHeight="true" outlineLevel="0" collapsed="false">
      <c r="A59" s="176" t="s">
        <v>481</v>
      </c>
      <c r="B59" s="177" t="n">
        <v>75</v>
      </c>
      <c r="C59" s="177" t="n">
        <v>63.75</v>
      </c>
      <c r="D59" s="177" t="n">
        <v>56.25</v>
      </c>
      <c r="E59" s="177" t="n">
        <v>52.5</v>
      </c>
      <c r="F59" s="171"/>
    </row>
    <row r="60" customFormat="false" ht="14.25" hidden="false" customHeight="true" outlineLevel="0" collapsed="false">
      <c r="A60" s="176" t="s">
        <v>482</v>
      </c>
      <c r="B60" s="177" t="n">
        <v>75</v>
      </c>
      <c r="C60" s="177" t="n">
        <v>63.75</v>
      </c>
      <c r="D60" s="177" t="n">
        <v>56.25</v>
      </c>
      <c r="E60" s="177" t="n">
        <v>52.5</v>
      </c>
      <c r="F60" s="171"/>
    </row>
    <row r="61" customFormat="false" ht="14.25" hidden="false" customHeight="true" outlineLevel="0" collapsed="false">
      <c r="A61" s="176" t="s">
        <v>483</v>
      </c>
      <c r="B61" s="177" t="n">
        <v>75</v>
      </c>
      <c r="C61" s="177" t="n">
        <v>63.75</v>
      </c>
      <c r="D61" s="177" t="n">
        <v>56.25</v>
      </c>
      <c r="E61" s="177" t="n">
        <v>52.5</v>
      </c>
      <c r="F61" s="171"/>
    </row>
    <row r="64" customFormat="false" ht="21" hidden="false" customHeight="true" outlineLevel="0" collapsed="false">
      <c r="A64" s="182" t="s">
        <v>484</v>
      </c>
      <c r="B64" s="183" t="s">
        <v>419</v>
      </c>
      <c r="C64" s="184"/>
    </row>
    <row r="65" customFormat="false" ht="14.25" hidden="false" customHeight="true" outlineLevel="0" collapsed="false">
      <c r="A65" s="185" t="s">
        <v>485</v>
      </c>
      <c r="B65" s="184"/>
      <c r="C65" s="184"/>
      <c r="D65" s="186"/>
    </row>
    <row r="66" customFormat="false" ht="14.25" hidden="false" customHeight="true" outlineLevel="0" collapsed="false">
      <c r="C66" s="1" t="s">
        <v>486</v>
      </c>
      <c r="D66" s="1" t="s">
        <v>487</v>
      </c>
    </row>
    <row r="67" customFormat="false" ht="14.25" hidden="false" customHeight="true" outlineLevel="0" collapsed="false">
      <c r="A67" s="187" t="s">
        <v>424</v>
      </c>
      <c r="B67" s="188" t="s">
        <v>4</v>
      </c>
      <c r="C67" s="188" t="s">
        <v>5</v>
      </c>
      <c r="D67" s="189" t="s">
        <v>6</v>
      </c>
    </row>
    <row r="68" customFormat="false" ht="14.25" hidden="false" customHeight="true" outlineLevel="0" collapsed="false">
      <c r="A68" s="190" t="s">
        <v>8</v>
      </c>
      <c r="B68" s="186" t="n">
        <v>2055</v>
      </c>
      <c r="C68" s="186" t="n">
        <v>1745</v>
      </c>
      <c r="D68" s="191" t="n">
        <v>1645</v>
      </c>
    </row>
    <row r="69" customFormat="false" ht="14.25" hidden="false" customHeight="true" outlineLevel="0" collapsed="false">
      <c r="A69" s="192" t="s">
        <v>10</v>
      </c>
      <c r="B69" s="193" t="n">
        <v>1695</v>
      </c>
      <c r="C69" s="193" t="n">
        <v>1445</v>
      </c>
      <c r="D69" s="191" t="n">
        <v>1355</v>
      </c>
      <c r="E69" s="186"/>
    </row>
    <row r="70" customFormat="false" ht="14.25" hidden="false" customHeight="true" outlineLevel="0" collapsed="false">
      <c r="A70" s="190" t="s">
        <v>11</v>
      </c>
      <c r="B70" s="186" t="n">
        <v>1495</v>
      </c>
      <c r="C70" s="186" t="n">
        <v>1275</v>
      </c>
      <c r="D70" s="191" t="n">
        <v>1245</v>
      </c>
      <c r="E70" s="186"/>
    </row>
    <row r="71" customFormat="false" ht="14.25" hidden="false" customHeight="true" outlineLevel="0" collapsed="false">
      <c r="A71" s="190" t="s">
        <v>13</v>
      </c>
      <c r="B71" s="186" t="n">
        <v>3085</v>
      </c>
      <c r="C71" s="186" t="n">
        <v>2625</v>
      </c>
      <c r="D71" s="191" t="n">
        <v>2465</v>
      </c>
      <c r="E71" s="186"/>
    </row>
    <row r="72" customFormat="false" ht="14.25" hidden="false" customHeight="true" outlineLevel="0" collapsed="false">
      <c r="A72" s="190" t="s">
        <v>15</v>
      </c>
      <c r="B72" s="186" t="n">
        <v>1695</v>
      </c>
      <c r="C72" s="186" t="n">
        <v>1445</v>
      </c>
      <c r="D72" s="191" t="n">
        <v>1355</v>
      </c>
      <c r="E72" s="186"/>
    </row>
    <row r="73" customFormat="false" ht="14.25" hidden="false" customHeight="true" outlineLevel="0" collapsed="false">
      <c r="A73" s="190" t="s">
        <v>16</v>
      </c>
      <c r="B73" s="186" t="n">
        <v>1595</v>
      </c>
      <c r="C73" s="186" t="n">
        <v>1356</v>
      </c>
      <c r="D73" s="191" t="n">
        <v>1295</v>
      </c>
      <c r="E73" s="186"/>
    </row>
    <row r="74" customFormat="false" ht="14.25" hidden="false" customHeight="true" outlineLevel="0" collapsed="false">
      <c r="A74" s="192" t="s">
        <v>17</v>
      </c>
      <c r="B74" s="193" t="n">
        <v>1645</v>
      </c>
      <c r="C74" s="193" t="n">
        <v>1395</v>
      </c>
      <c r="D74" s="191" t="n">
        <v>1315</v>
      </c>
      <c r="E74" s="186"/>
    </row>
    <row r="75" customFormat="false" ht="14.25" hidden="false" customHeight="true" outlineLevel="0" collapsed="false">
      <c r="A75" s="192" t="s">
        <v>18</v>
      </c>
      <c r="B75" s="193" t="n">
        <v>1495</v>
      </c>
      <c r="C75" s="193" t="n">
        <v>1275</v>
      </c>
      <c r="D75" s="191" t="n">
        <v>1195</v>
      </c>
      <c r="E75" s="186"/>
    </row>
    <row r="76" customFormat="false" ht="14.25" hidden="false" customHeight="true" outlineLevel="0" collapsed="false">
      <c r="A76" s="190" t="s">
        <v>19</v>
      </c>
      <c r="B76" s="186" t="n">
        <v>1955</v>
      </c>
      <c r="C76" s="186" t="n">
        <v>1665</v>
      </c>
      <c r="D76" s="191" t="n">
        <v>1565</v>
      </c>
      <c r="E76" s="186"/>
    </row>
    <row r="77" customFormat="false" ht="14.25" hidden="false" customHeight="true" outlineLevel="0" collapsed="false">
      <c r="A77" s="190" t="s">
        <v>21</v>
      </c>
      <c r="B77" s="186" t="n">
        <v>2095</v>
      </c>
      <c r="C77" s="186" t="n">
        <v>1785</v>
      </c>
      <c r="D77" s="191" t="n">
        <v>1675</v>
      </c>
      <c r="E77" s="186"/>
    </row>
    <row r="78" customFormat="false" ht="14.25" hidden="false" customHeight="true" outlineLevel="0" collapsed="false">
      <c r="A78" s="190" t="s">
        <v>22</v>
      </c>
      <c r="B78" s="186" t="n">
        <v>1495</v>
      </c>
      <c r="C78" s="186" t="n">
        <v>1275</v>
      </c>
      <c r="D78" s="191" t="n">
        <v>1195</v>
      </c>
      <c r="E78" s="186"/>
    </row>
    <row r="79" customFormat="false" ht="14.25" hidden="false" customHeight="true" outlineLevel="0" collapsed="false">
      <c r="A79" s="192" t="s">
        <v>23</v>
      </c>
      <c r="B79" s="193" t="n">
        <v>1090</v>
      </c>
      <c r="C79" s="193" t="n">
        <v>925</v>
      </c>
      <c r="D79" s="191" t="n">
        <v>875</v>
      </c>
      <c r="E79" s="186"/>
    </row>
    <row r="80" customFormat="false" ht="14.25" hidden="false" customHeight="true" outlineLevel="0" collapsed="false">
      <c r="A80" s="190" t="s">
        <v>25</v>
      </c>
      <c r="B80" s="186" t="n">
        <v>1495</v>
      </c>
      <c r="C80" s="186" t="n">
        <v>1275</v>
      </c>
      <c r="D80" s="191" t="n">
        <v>1195</v>
      </c>
      <c r="E80" s="186"/>
    </row>
    <row r="81" customFormat="false" ht="14.25" hidden="false" customHeight="true" outlineLevel="0" collapsed="false">
      <c r="E81" s="186"/>
    </row>
    <row r="82" customFormat="false" ht="14.25" hidden="false" customHeight="true" outlineLevel="0" collapsed="false">
      <c r="A82" s="187" t="s">
        <v>488</v>
      </c>
      <c r="B82" s="188" t="s">
        <v>4</v>
      </c>
      <c r="C82" s="188" t="s">
        <v>5</v>
      </c>
      <c r="D82" s="189" t="s">
        <v>6</v>
      </c>
      <c r="E82" s="186"/>
    </row>
    <row r="83" customFormat="false" ht="14.25" hidden="false" customHeight="true" outlineLevel="0" collapsed="false">
      <c r="A83" s="190" t="s">
        <v>489</v>
      </c>
      <c r="B83" s="186" t="n">
        <v>495</v>
      </c>
      <c r="C83" s="186" t="n">
        <v>405</v>
      </c>
      <c r="D83" s="191" t="n">
        <v>375</v>
      </c>
      <c r="E83" s="186"/>
    </row>
    <row r="84" customFormat="false" ht="14.25" hidden="false" customHeight="true" outlineLevel="0" collapsed="false">
      <c r="A84" s="190" t="s">
        <v>490</v>
      </c>
      <c r="B84" s="186" t="n">
        <v>75</v>
      </c>
      <c r="C84" s="186" t="n">
        <v>68</v>
      </c>
      <c r="D84" s="191" t="n">
        <v>60</v>
      </c>
      <c r="E84" s="186"/>
    </row>
    <row r="85" customFormat="false" ht="14.25" hidden="false" customHeight="true" outlineLevel="0" collapsed="false">
      <c r="A85" s="190" t="s">
        <v>491</v>
      </c>
      <c r="B85" s="186" t="n">
        <v>90</v>
      </c>
      <c r="C85" s="186" t="n">
        <v>70</v>
      </c>
      <c r="D85" s="191" t="n">
        <v>65</v>
      </c>
      <c r="E85" s="186"/>
    </row>
    <row r="86" customFormat="false" ht="14.25" hidden="false" customHeight="true" outlineLevel="0" collapsed="false">
      <c r="A86" s="190" t="s">
        <v>492</v>
      </c>
      <c r="B86" s="186" t="n">
        <v>125</v>
      </c>
      <c r="C86" s="186" t="n">
        <v>105</v>
      </c>
      <c r="D86" s="191" t="n">
        <v>95</v>
      </c>
      <c r="E86" s="186"/>
    </row>
    <row r="87" customFormat="false" ht="14.25" hidden="false" customHeight="true" outlineLevel="0" collapsed="false">
      <c r="A87" s="190" t="s">
        <v>493</v>
      </c>
      <c r="B87" s="186" t="n">
        <v>50</v>
      </c>
      <c r="C87" s="186" t="n">
        <v>50</v>
      </c>
      <c r="D87" s="191" t="n">
        <v>50</v>
      </c>
      <c r="E87" s="186"/>
    </row>
    <row r="88" customFormat="false" ht="14.25" hidden="false" customHeight="true" outlineLevel="0" collapsed="false">
      <c r="A88" s="190" t="s">
        <v>494</v>
      </c>
      <c r="B88" s="186" t="n">
        <v>25</v>
      </c>
      <c r="C88" s="186" t="n">
        <v>25</v>
      </c>
      <c r="D88" s="191" t="n">
        <v>25</v>
      </c>
      <c r="E88" s="186"/>
    </row>
    <row r="90" customFormat="false" ht="21" hidden="false" customHeight="true" outlineLevel="0" collapsed="false">
      <c r="A90" s="194" t="s">
        <v>495</v>
      </c>
      <c r="B90" s="195" t="s">
        <v>419</v>
      </c>
      <c r="C90" s="196"/>
    </row>
    <row r="91" customFormat="false" ht="14.25" hidden="false" customHeight="true" outlineLevel="0" collapsed="false">
      <c r="A91" s="197" t="s">
        <v>496</v>
      </c>
      <c r="B91" s="196"/>
      <c r="C91" s="196"/>
    </row>
    <row r="92" customFormat="false" ht="14.25" hidden="false" customHeight="true" outlineLevel="0" collapsed="false">
      <c r="C92" s="198" t="s">
        <v>497</v>
      </c>
      <c r="D92" s="172" t="s">
        <v>498</v>
      </c>
    </row>
    <row r="93" customFormat="false" ht="14.25" hidden="false" customHeight="true" outlineLevel="0" collapsed="false">
      <c r="A93" s="199" t="s">
        <v>424</v>
      </c>
      <c r="B93" s="200" t="s">
        <v>27</v>
      </c>
      <c r="C93" s="200" t="s">
        <v>5</v>
      </c>
      <c r="D93" s="201" t="s">
        <v>6</v>
      </c>
      <c r="E93" s="202"/>
      <c r="F93" s="203" t="s">
        <v>499</v>
      </c>
    </row>
    <row r="94" customFormat="false" ht="14.25" hidden="false" customHeight="true" outlineLevel="0" collapsed="false">
      <c r="A94" s="190" t="s">
        <v>30</v>
      </c>
      <c r="B94" s="186" t="n">
        <v>1150</v>
      </c>
      <c r="C94" s="186" t="n">
        <v>1000</v>
      </c>
      <c r="D94" s="191" t="n">
        <v>855</v>
      </c>
      <c r="F94" s="204" t="s">
        <v>500</v>
      </c>
    </row>
    <row r="95" customFormat="false" ht="14.25" hidden="false" customHeight="true" outlineLevel="0" collapsed="false">
      <c r="A95" s="190" t="s">
        <v>32</v>
      </c>
      <c r="B95" s="186" t="n">
        <v>435</v>
      </c>
      <c r="C95" s="186" t="n">
        <v>385</v>
      </c>
      <c r="D95" s="191" t="n">
        <v>340</v>
      </c>
    </row>
    <row r="96" customFormat="false" ht="14.25" hidden="false" customHeight="true" outlineLevel="0" collapsed="false">
      <c r="A96" s="190" t="s">
        <v>33</v>
      </c>
      <c r="B96" s="186" t="n">
        <v>900</v>
      </c>
      <c r="C96" s="186" t="n">
        <v>815</v>
      </c>
      <c r="D96" s="191" t="n">
        <v>730</v>
      </c>
    </row>
    <row r="97" customFormat="false" ht="14.25" hidden="false" customHeight="true" outlineLevel="0" collapsed="false">
      <c r="A97" s="190" t="s">
        <v>35</v>
      </c>
      <c r="B97" s="186" t="n">
        <v>1000</v>
      </c>
      <c r="C97" s="186" t="n">
        <v>915</v>
      </c>
      <c r="D97" s="191" t="n">
        <v>830</v>
      </c>
    </row>
    <row r="98" customFormat="false" ht="14.25" hidden="false" customHeight="true" outlineLevel="0" collapsed="false">
      <c r="A98" s="192" t="s">
        <v>36</v>
      </c>
      <c r="B98" s="193" t="n">
        <v>1300</v>
      </c>
      <c r="C98" s="193" t="n">
        <v>1125</v>
      </c>
      <c r="D98" s="205" t="n">
        <v>980</v>
      </c>
    </row>
    <row r="99" customFormat="false" ht="14.25" hidden="false" customHeight="true" outlineLevel="0" collapsed="false">
      <c r="A99" s="192" t="s">
        <v>37</v>
      </c>
      <c r="B99" s="193" t="n">
        <v>1300</v>
      </c>
      <c r="C99" s="193" t="n">
        <v>1150</v>
      </c>
      <c r="D99" s="205" t="n">
        <v>1010</v>
      </c>
    </row>
    <row r="100" customFormat="false" ht="14.25" hidden="false" customHeight="true" outlineLevel="0" collapsed="false">
      <c r="A100" s="192" t="s">
        <v>39</v>
      </c>
      <c r="B100" s="193" t="n">
        <v>1400</v>
      </c>
      <c r="C100" s="193" t="n">
        <v>1225</v>
      </c>
      <c r="D100" s="205" t="n">
        <v>1080</v>
      </c>
    </row>
    <row r="101" customFormat="false" ht="14.25" hidden="false" customHeight="true" outlineLevel="0" collapsed="false">
      <c r="A101" s="192" t="s">
        <v>40</v>
      </c>
      <c r="B101" s="193" t="n">
        <v>1400</v>
      </c>
      <c r="C101" s="193" t="n">
        <v>1250</v>
      </c>
      <c r="D101" s="205" t="n">
        <v>1110</v>
      </c>
    </row>
    <row r="102" customFormat="false" ht="14.25" hidden="false" customHeight="true" outlineLevel="0" collapsed="false">
      <c r="C102" s="206" t="s">
        <v>501</v>
      </c>
      <c r="D102" s="206" t="s">
        <v>502</v>
      </c>
      <c r="E102" s="206" t="s">
        <v>503</v>
      </c>
      <c r="F102" s="206" t="s">
        <v>504</v>
      </c>
    </row>
    <row r="103" customFormat="false" ht="14.25" hidden="false" customHeight="true" outlineLevel="0" collapsed="false">
      <c r="A103" s="199" t="s">
        <v>505</v>
      </c>
      <c r="B103" s="200" t="s">
        <v>27</v>
      </c>
      <c r="C103" s="200" t="s">
        <v>5</v>
      </c>
      <c r="D103" s="201" t="s">
        <v>6</v>
      </c>
      <c r="E103" s="201" t="s">
        <v>506</v>
      </c>
      <c r="F103" s="201" t="s">
        <v>507</v>
      </c>
    </row>
    <row r="104" customFormat="false" ht="14.25" hidden="false" customHeight="true" outlineLevel="0" collapsed="false">
      <c r="A104" s="192" t="s">
        <v>46</v>
      </c>
      <c r="B104" s="193" t="n">
        <v>1800</v>
      </c>
      <c r="C104" s="193" t="n">
        <v>1700</v>
      </c>
      <c r="D104" s="205" t="n">
        <v>1650</v>
      </c>
      <c r="E104" s="191" t="n">
        <v>1500</v>
      </c>
      <c r="F104" s="191" t="n">
        <v>1400</v>
      </c>
    </row>
    <row r="105" customFormat="false" ht="14.25" hidden="false" customHeight="true" outlineLevel="0" collapsed="false">
      <c r="A105" s="192" t="s">
        <v>47</v>
      </c>
      <c r="B105" s="193" t="n">
        <v>1900</v>
      </c>
      <c r="C105" s="193" t="n">
        <v>1800</v>
      </c>
      <c r="D105" s="205" t="n">
        <v>1750</v>
      </c>
      <c r="E105" s="191" t="n">
        <v>1600</v>
      </c>
      <c r="F105" s="191" t="n">
        <v>1500</v>
      </c>
    </row>
    <row r="106" customFormat="false" ht="14.25" hidden="false" customHeight="true" outlineLevel="0" collapsed="false">
      <c r="A106" s="207" t="s">
        <v>508</v>
      </c>
    </row>
    <row r="107" customFormat="false" ht="14.25" hidden="false" customHeight="true" outlineLevel="0" collapsed="false">
      <c r="A107" s="207"/>
    </row>
    <row r="108" customFormat="false" ht="21" hidden="false" customHeight="true" outlineLevel="0" collapsed="false">
      <c r="A108" s="208" t="s">
        <v>509</v>
      </c>
      <c r="B108" s="209" t="s">
        <v>510</v>
      </c>
      <c r="C108" s="210"/>
      <c r="D108" s="210"/>
      <c r="E108" s="210"/>
      <c r="F108" s="210"/>
    </row>
    <row r="109" customFormat="false" ht="14.25" hidden="false" customHeight="true" outlineLevel="0" collapsed="false">
      <c r="A109" s="211" t="s">
        <v>511</v>
      </c>
      <c r="B109" s="210"/>
      <c r="C109" s="210"/>
      <c r="D109" s="210"/>
      <c r="E109" s="210"/>
      <c r="F109" s="210"/>
    </row>
    <row r="111" customFormat="false" ht="14.25" hidden="false" customHeight="true" outlineLevel="0" collapsed="false">
      <c r="A111" s="212" t="s">
        <v>512</v>
      </c>
      <c r="B111" s="175" t="s">
        <v>81</v>
      </c>
      <c r="C111" s="175" t="s">
        <v>82</v>
      </c>
      <c r="D111" s="175" t="s">
        <v>83</v>
      </c>
      <c r="E111" s="175" t="s">
        <v>84</v>
      </c>
      <c r="F111" s="175" t="s">
        <v>7</v>
      </c>
    </row>
    <row r="112" customFormat="false" ht="14.25" hidden="false" customHeight="true" outlineLevel="0" collapsed="false">
      <c r="A112" s="213" t="s">
        <v>86</v>
      </c>
      <c r="B112" s="214" t="n">
        <v>1106</v>
      </c>
      <c r="C112" s="214" t="n">
        <v>895.9</v>
      </c>
      <c r="D112" s="214" t="n">
        <v>843.2</v>
      </c>
      <c r="E112" s="214" t="n">
        <v>790.5</v>
      </c>
    </row>
    <row r="113" customFormat="false" ht="14.25" hidden="false" customHeight="true" outlineLevel="0" collapsed="false">
      <c r="A113" s="213" t="s">
        <v>88</v>
      </c>
      <c r="B113" s="214" t="n">
        <v>1106</v>
      </c>
      <c r="C113" s="214" t="n">
        <v>895.9</v>
      </c>
      <c r="D113" s="214" t="n">
        <v>843.2</v>
      </c>
      <c r="E113" s="214" t="n">
        <v>790.5</v>
      </c>
    </row>
    <row r="114" customFormat="false" ht="14.25" hidden="false" customHeight="true" outlineLevel="0" collapsed="false">
      <c r="A114" s="213" t="s">
        <v>89</v>
      </c>
      <c r="B114" s="214" t="n">
        <v>1147</v>
      </c>
      <c r="C114" s="214" t="n">
        <v>929.9</v>
      </c>
      <c r="D114" s="214" t="n">
        <v>875.2</v>
      </c>
      <c r="E114" s="214" t="n">
        <v>820.5</v>
      </c>
    </row>
    <row r="115" customFormat="false" ht="14.25" hidden="false" customHeight="true" outlineLevel="0" collapsed="false">
      <c r="A115" s="213" t="s">
        <v>90</v>
      </c>
      <c r="B115" s="214" t="n">
        <v>1147</v>
      </c>
      <c r="C115" s="214" t="n">
        <v>929.9</v>
      </c>
      <c r="D115" s="214" t="n">
        <v>875.2</v>
      </c>
      <c r="E115" s="214" t="n">
        <v>820.5</v>
      </c>
    </row>
    <row r="116" customFormat="false" ht="14.25" hidden="false" customHeight="true" outlineLevel="0" collapsed="false">
      <c r="A116" s="213" t="s">
        <v>91</v>
      </c>
      <c r="B116" s="214" t="n">
        <v>1847.5</v>
      </c>
      <c r="C116" s="214" t="n">
        <v>1510.24</v>
      </c>
      <c r="D116" s="214" t="n">
        <v>1421.4</v>
      </c>
      <c r="E116" s="214" t="n">
        <v>1332.56</v>
      </c>
    </row>
    <row r="117" customFormat="false" ht="14.25" hidden="false" customHeight="true" outlineLevel="0" collapsed="false">
      <c r="A117" s="213" t="s">
        <v>92</v>
      </c>
      <c r="B117" s="214" t="n">
        <v>1357.5</v>
      </c>
      <c r="C117" s="214" t="n">
        <v>1104.15</v>
      </c>
      <c r="D117" s="214" t="n">
        <v>1039.2</v>
      </c>
      <c r="E117" s="214" t="n">
        <v>974.25</v>
      </c>
    </row>
    <row r="118" customFormat="false" ht="14.25" hidden="false" customHeight="true" outlineLevel="0" collapsed="false">
      <c r="A118" s="212" t="s">
        <v>513</v>
      </c>
      <c r="B118" s="175" t="s">
        <v>81</v>
      </c>
      <c r="C118" s="175" t="s">
        <v>82</v>
      </c>
      <c r="D118" s="175" t="s">
        <v>83</v>
      </c>
      <c r="E118" s="175" t="s">
        <v>84</v>
      </c>
      <c r="F118" s="175" t="s">
        <v>7</v>
      </c>
    </row>
    <row r="119" customFormat="false" ht="14.25" hidden="false" customHeight="true" outlineLevel="0" collapsed="false">
      <c r="A119" s="213" t="s">
        <v>93</v>
      </c>
      <c r="B119" s="214" t="n">
        <v>1299</v>
      </c>
      <c r="C119" s="214" t="n">
        <v>1055.7</v>
      </c>
      <c r="D119" s="214" t="n">
        <v>993.6</v>
      </c>
      <c r="E119" s="214" t="n">
        <v>931.5</v>
      </c>
    </row>
    <row r="120" customFormat="false" ht="14.25" hidden="false" customHeight="true" outlineLevel="0" collapsed="false">
      <c r="A120" s="213" t="s">
        <v>95</v>
      </c>
      <c r="B120" s="214" t="n">
        <v>1360</v>
      </c>
      <c r="C120" s="214" t="n">
        <v>1106.7</v>
      </c>
      <c r="D120" s="214" t="n">
        <v>1041.6</v>
      </c>
      <c r="E120" s="214" t="n">
        <v>976.5</v>
      </c>
    </row>
    <row r="121" customFormat="false" ht="14.25" hidden="false" customHeight="true" outlineLevel="0" collapsed="false">
      <c r="A121" s="215" t="s">
        <v>96</v>
      </c>
      <c r="B121" s="216"/>
      <c r="C121" s="216"/>
      <c r="D121" s="216"/>
      <c r="E121" s="216"/>
      <c r="F121" s="217" t="s">
        <v>97</v>
      </c>
    </row>
    <row r="122" customFormat="false" ht="14.25" hidden="false" customHeight="true" outlineLevel="0" collapsed="false">
      <c r="A122" s="212" t="s">
        <v>514</v>
      </c>
      <c r="B122" s="175" t="s">
        <v>81</v>
      </c>
      <c r="C122" s="175" t="s">
        <v>82</v>
      </c>
      <c r="D122" s="175" t="s">
        <v>83</v>
      </c>
      <c r="E122" s="175" t="s">
        <v>84</v>
      </c>
      <c r="F122" s="175" t="s">
        <v>7</v>
      </c>
    </row>
    <row r="123" customFormat="false" ht="14.25" hidden="false" customHeight="true" outlineLevel="0" collapsed="false">
      <c r="A123" s="213" t="s">
        <v>98</v>
      </c>
      <c r="B123" s="214" t="n">
        <v>1148</v>
      </c>
      <c r="C123" s="214" t="n">
        <v>930.75</v>
      </c>
      <c r="D123" s="214" t="n">
        <v>876</v>
      </c>
      <c r="E123" s="214" t="n">
        <v>821.25</v>
      </c>
    </row>
    <row r="124" customFormat="false" ht="14.25" hidden="false" customHeight="true" outlineLevel="0" collapsed="false">
      <c r="A124" s="212" t="s">
        <v>515</v>
      </c>
      <c r="B124" s="175" t="s">
        <v>516</v>
      </c>
      <c r="C124" s="175"/>
      <c r="D124" s="175"/>
      <c r="E124" s="175"/>
      <c r="F124" s="175" t="s">
        <v>7</v>
      </c>
    </row>
    <row r="125" customFormat="false" ht="14.25" hidden="false" customHeight="true" outlineLevel="0" collapsed="false">
      <c r="A125" s="213" t="s">
        <v>517</v>
      </c>
      <c r="B125" s="214" t="n">
        <v>1500</v>
      </c>
      <c r="F125" s="217" t="s">
        <v>518</v>
      </c>
    </row>
    <row r="126" customFormat="false" ht="14.25" hidden="false" customHeight="true" outlineLevel="0" collapsed="false">
      <c r="A126" s="207"/>
    </row>
    <row r="127" customFormat="false" ht="14.25" hidden="false" customHeight="true" outlineLevel="0" collapsed="false">
      <c r="A127" s="207"/>
    </row>
    <row r="129" customFormat="false" ht="21" hidden="false" customHeight="true" outlineLevel="0" collapsed="false">
      <c r="A129" s="218" t="s">
        <v>519</v>
      </c>
      <c r="B129" s="219" t="s">
        <v>520</v>
      </c>
      <c r="C129" s="220"/>
    </row>
    <row r="130" customFormat="false" ht="14.25" hidden="false" customHeight="true" outlineLevel="0" collapsed="false">
      <c r="A130" s="221"/>
      <c r="B130" s="222" t="s">
        <v>27</v>
      </c>
      <c r="C130" s="222" t="s">
        <v>521</v>
      </c>
    </row>
    <row r="131" customFormat="false" ht="14.25" hidden="false" customHeight="true" outlineLevel="0" collapsed="false">
      <c r="A131" s="223" t="s">
        <v>522</v>
      </c>
      <c r="B131" s="224" t="n">
        <f aca="false">C131*1.1</f>
        <v>891</v>
      </c>
      <c r="C131" s="224" t="n">
        <v>810</v>
      </c>
    </row>
    <row r="132" customFormat="false" ht="14.25" hidden="false" customHeight="true" outlineLevel="0" collapsed="false">
      <c r="A132" s="223" t="s">
        <v>523</v>
      </c>
      <c r="B132" s="224" t="n">
        <f aca="false">C132*1.1</f>
        <v>929.5</v>
      </c>
      <c r="C132" s="224" t="n">
        <v>845</v>
      </c>
    </row>
    <row r="133" customFormat="false" ht="14.25" hidden="false" customHeight="true" outlineLevel="0" collapsed="false">
      <c r="A133" s="225" t="s">
        <v>524</v>
      </c>
      <c r="B133" s="226" t="n">
        <f aca="false">C133*1.1</f>
        <v>965.25</v>
      </c>
      <c r="C133" s="227" t="n">
        <v>877.5</v>
      </c>
    </row>
    <row r="134" customFormat="false" ht="14.25" hidden="false" customHeight="true" outlineLevel="0" collapsed="false">
      <c r="A134" s="223" t="s">
        <v>525</v>
      </c>
      <c r="B134" s="224" t="n">
        <f aca="false">C134*1.1</f>
        <v>1003.75</v>
      </c>
      <c r="C134" s="228" t="n">
        <v>912.5</v>
      </c>
    </row>
    <row r="135" customFormat="false" ht="14.25" hidden="false" customHeight="true" outlineLevel="0" collapsed="false">
      <c r="A135" s="223" t="s">
        <v>526</v>
      </c>
      <c r="B135" s="224" t="n">
        <f aca="false">C135*1.1</f>
        <v>74.25</v>
      </c>
      <c r="C135" s="228" t="n">
        <v>67.5</v>
      </c>
    </row>
    <row r="137" customFormat="false" ht="21" hidden="false" customHeight="true" outlineLevel="0" collapsed="false">
      <c r="A137" s="194" t="s">
        <v>527</v>
      </c>
      <c r="B137" s="195" t="s">
        <v>528</v>
      </c>
      <c r="C137" s="196"/>
      <c r="E137" s="190" t="s">
        <v>529</v>
      </c>
    </row>
    <row r="138" customFormat="false" ht="14.25" hidden="false" customHeight="true" outlineLevel="0" collapsed="false">
      <c r="A138" s="199"/>
      <c r="B138" s="222" t="s">
        <v>27</v>
      </c>
      <c r="C138" s="222" t="s">
        <v>521</v>
      </c>
      <c r="E138" s="190" t="s">
        <v>530</v>
      </c>
    </row>
    <row r="139" customFormat="false" ht="14.25" hidden="false" customHeight="true" outlineLevel="0" collapsed="false">
      <c r="A139" s="225" t="s">
        <v>531</v>
      </c>
      <c r="B139" s="226" t="n">
        <v>1149</v>
      </c>
      <c r="C139" s="227" t="n">
        <f aca="false">B139*0.7</f>
        <v>804.3</v>
      </c>
    </row>
    <row r="141" customFormat="false" ht="21" hidden="false" customHeight="true" outlineLevel="0" collapsed="false">
      <c r="A141" s="194" t="s">
        <v>532</v>
      </c>
      <c r="B141" s="195"/>
      <c r="C141" s="196"/>
      <c r="E141" s="229" t="s">
        <v>533</v>
      </c>
    </row>
    <row r="142" customFormat="false" ht="14.25" hidden="false" customHeight="true" outlineLevel="0" collapsed="false">
      <c r="A142" s="230" t="s">
        <v>534</v>
      </c>
      <c r="B142" s="231" t="s">
        <v>81</v>
      </c>
      <c r="C142" s="231" t="s">
        <v>521</v>
      </c>
      <c r="E142" s="1" t="s">
        <v>535</v>
      </c>
    </row>
    <row r="143" customFormat="false" ht="14.25" hidden="false" customHeight="true" outlineLevel="0" collapsed="false">
      <c r="A143" s="232" t="s">
        <v>536</v>
      </c>
      <c r="B143" s="233" t="n">
        <v>975</v>
      </c>
      <c r="C143" s="233" t="n">
        <v>650</v>
      </c>
      <c r="E143" s="1" t="s">
        <v>537</v>
      </c>
    </row>
    <row r="144" customFormat="false" ht="14.25" hidden="false" customHeight="true" outlineLevel="0" collapsed="false">
      <c r="A144" s="213" t="s">
        <v>538</v>
      </c>
      <c r="B144" s="214" t="n">
        <v>975</v>
      </c>
      <c r="C144" s="214" t="n">
        <v>650</v>
      </c>
      <c r="E144" s="234" t="s">
        <v>539</v>
      </c>
    </row>
    <row r="145" customFormat="false" ht="14.25" hidden="false" customHeight="true" outlineLevel="0" collapsed="false">
      <c r="A145" s="213" t="s">
        <v>540</v>
      </c>
      <c r="B145" s="216"/>
      <c r="C145" s="235"/>
      <c r="D145" s="235"/>
      <c r="E145" s="217"/>
    </row>
    <row r="146" customFormat="false" ht="14.25" hidden="false" customHeight="true" outlineLevel="0" collapsed="false">
      <c r="A146" s="217" t="s">
        <v>541</v>
      </c>
      <c r="D146" s="236"/>
      <c r="E146" s="217"/>
    </row>
    <row r="148" customFormat="false" ht="21" hidden="false" customHeight="true" outlineLevel="0" collapsed="false">
      <c r="A148" s="182" t="s">
        <v>542</v>
      </c>
      <c r="B148" s="183" t="s">
        <v>543</v>
      </c>
      <c r="C148" s="182"/>
    </row>
    <row r="149" customFormat="false" ht="14.25" hidden="false" customHeight="true" outlineLevel="0" collapsed="false">
      <c r="A149" s="187" t="s">
        <v>544</v>
      </c>
      <c r="B149" s="237" t="s">
        <v>27</v>
      </c>
      <c r="C149" s="237" t="s">
        <v>521</v>
      </c>
    </row>
    <row r="150" customFormat="false" ht="14.25" hidden="false" customHeight="true" outlineLevel="0" collapsed="false">
      <c r="A150" s="223" t="s">
        <v>545</v>
      </c>
      <c r="B150" s="228" t="n">
        <v>129.99</v>
      </c>
      <c r="C150" s="228" t="n">
        <f aca="false">B150*0.85</f>
        <v>110.4915</v>
      </c>
    </row>
    <row r="151" customFormat="false" ht="14.25" hidden="false" customHeight="true" outlineLevel="0" collapsed="false">
      <c r="A151" s="223" t="s">
        <v>546</v>
      </c>
      <c r="B151" s="228" t="n">
        <v>174.99</v>
      </c>
      <c r="C151" s="228" t="n">
        <f aca="false">B151*0.85</f>
        <v>148.7415</v>
      </c>
    </row>
    <row r="152" customFormat="false" ht="14.25" hidden="false" customHeight="true" outlineLevel="0" collapsed="false">
      <c r="A152" s="225" t="s">
        <v>547</v>
      </c>
      <c r="B152" s="227" t="n">
        <v>229.99</v>
      </c>
      <c r="C152" s="227" t="n">
        <f aca="false">B152*0.85</f>
        <v>195.4915</v>
      </c>
    </row>
    <row r="153" customFormat="false" ht="14.25" hidden="false" customHeight="true" outlineLevel="0" collapsed="false">
      <c r="A153" s="223" t="s">
        <v>548</v>
      </c>
      <c r="B153" s="228" t="n">
        <v>274.99</v>
      </c>
      <c r="C153" s="228" t="n">
        <f aca="false">B153*0.85</f>
        <v>233.7415</v>
      </c>
    </row>
    <row r="154" customFormat="false" ht="14.25" hidden="false" customHeight="true" outlineLevel="0" collapsed="false">
      <c r="A154" s="225" t="s">
        <v>549</v>
      </c>
      <c r="B154" s="227" t="n">
        <v>309.99</v>
      </c>
      <c r="C154" s="227" t="n">
        <f aca="false">B154*0.85</f>
        <v>263.4915</v>
      </c>
    </row>
    <row r="155" customFormat="false" ht="14.25" hidden="false" customHeight="true" outlineLevel="0" collapsed="false">
      <c r="A155" s="225" t="s">
        <v>550</v>
      </c>
      <c r="B155" s="227" t="n">
        <v>334.99</v>
      </c>
      <c r="C155" s="227" t="n">
        <f aca="false">B155*0.85</f>
        <v>284.7415</v>
      </c>
    </row>
    <row r="156" customFormat="false" ht="14.25" hidden="false" customHeight="true" outlineLevel="0" collapsed="false">
      <c r="A156" s="223" t="s">
        <v>551</v>
      </c>
      <c r="B156" s="228" t="n">
        <v>364.99</v>
      </c>
      <c r="C156" s="228" t="n">
        <f aca="false">B156*0.85</f>
        <v>310.2415</v>
      </c>
    </row>
    <row r="157" customFormat="false" ht="14.25" hidden="false" customHeight="true" outlineLevel="0" collapsed="false">
      <c r="A157" s="223" t="s">
        <v>552</v>
      </c>
      <c r="B157" s="228" t="n">
        <v>224.99</v>
      </c>
      <c r="C157" s="228" t="n">
        <f aca="false">B157*0.85</f>
        <v>191.2415</v>
      </c>
    </row>
    <row r="158" customFormat="false" ht="14.25" hidden="false" customHeight="true" outlineLevel="0" collapsed="false">
      <c r="A158" s="223" t="s">
        <v>553</v>
      </c>
      <c r="B158" s="228" t="n">
        <v>324.99</v>
      </c>
      <c r="C158" s="228" t="n">
        <f aca="false">B158*0.85</f>
        <v>276.2415</v>
      </c>
    </row>
    <row r="161" customFormat="false" ht="21" hidden="false" customHeight="true" outlineLevel="0" collapsed="false">
      <c r="A161" s="238" t="s">
        <v>554</v>
      </c>
      <c r="B161" s="238"/>
      <c r="C161" s="238"/>
    </row>
    <row r="162" customFormat="false" ht="14.25" hidden="false" customHeight="true" outlineLevel="0" collapsed="false">
      <c r="A162" s="239" t="s">
        <v>555</v>
      </c>
      <c r="B162" s="240"/>
      <c r="C162" s="240"/>
    </row>
    <row r="163" customFormat="false" ht="14.25" hidden="false" customHeight="true" outlineLevel="0" collapsed="false">
      <c r="A163" s="241"/>
      <c r="B163" s="242" t="s">
        <v>27</v>
      </c>
      <c r="C163" s="242" t="s">
        <v>521</v>
      </c>
    </row>
    <row r="164" customFormat="false" ht="14.25" hidden="false" customHeight="true" outlineLevel="0" collapsed="false">
      <c r="A164" s="243" t="s">
        <v>556</v>
      </c>
      <c r="B164" s="244"/>
      <c r="C164" s="244"/>
    </row>
    <row r="165" customFormat="false" ht="14.25" hidden="false" customHeight="true" outlineLevel="0" collapsed="false">
      <c r="A165" s="171" t="s">
        <v>557</v>
      </c>
      <c r="B165" s="245" t="n">
        <v>5</v>
      </c>
      <c r="C165" s="245" t="n">
        <f aca="false">B165*0.75</f>
        <v>3.75</v>
      </c>
    </row>
    <row r="166" customFormat="false" ht="14.25" hidden="false" customHeight="true" outlineLevel="0" collapsed="false">
      <c r="A166" s="171" t="s">
        <v>558</v>
      </c>
      <c r="B166" s="186" t="n">
        <v>55</v>
      </c>
      <c r="C166" s="245" t="n">
        <f aca="false">B166*0.75</f>
        <v>41.25</v>
      </c>
    </row>
    <row r="167" customFormat="false" ht="14.25" hidden="false" customHeight="true" outlineLevel="0" collapsed="false">
      <c r="A167" s="171" t="s">
        <v>559</v>
      </c>
      <c r="B167" s="186" t="n">
        <v>55</v>
      </c>
      <c r="C167" s="245" t="n">
        <f aca="false">B167*0.75</f>
        <v>41.25</v>
      </c>
    </row>
    <row r="168" customFormat="false" ht="14.25" hidden="false" customHeight="true" outlineLevel="0" collapsed="false">
      <c r="A168" s="171" t="s">
        <v>560</v>
      </c>
      <c r="B168" s="186" t="n">
        <v>100</v>
      </c>
      <c r="C168" s="245" t="n">
        <f aca="false">B168*0.75</f>
        <v>75</v>
      </c>
    </row>
    <row r="169" customFormat="false" ht="14.25" hidden="false" customHeight="true" outlineLevel="0" collapsed="false">
      <c r="A169" s="171" t="s">
        <v>561</v>
      </c>
      <c r="B169" s="186" t="n">
        <v>150</v>
      </c>
      <c r="C169" s="245" t="n">
        <f aca="false">B169*0.75</f>
        <v>112.5</v>
      </c>
    </row>
    <row r="170" customFormat="false" ht="14.25" hidden="false" customHeight="true" outlineLevel="0" collapsed="false">
      <c r="A170" s="171" t="s">
        <v>562</v>
      </c>
      <c r="B170" s="186" t="n">
        <v>100</v>
      </c>
      <c r="C170" s="245" t="n">
        <f aca="false">B170*0.75</f>
        <v>75</v>
      </c>
    </row>
    <row r="171" customFormat="false" ht="14.25" hidden="false" customHeight="true" outlineLevel="0" collapsed="false">
      <c r="A171" s="171" t="s">
        <v>563</v>
      </c>
      <c r="B171" s="186" t="n">
        <v>90</v>
      </c>
      <c r="C171" s="245" t="n">
        <f aca="false">B171*0.75</f>
        <v>67.5</v>
      </c>
    </row>
    <row r="172" customFormat="false" ht="14.25" hidden="false" customHeight="true" outlineLevel="0" collapsed="false">
      <c r="A172" s="171" t="s">
        <v>564</v>
      </c>
      <c r="B172" s="186" t="n">
        <v>100</v>
      </c>
      <c r="C172" s="245" t="n">
        <f aca="false">B172*0.75</f>
        <v>75</v>
      </c>
    </row>
    <row r="173" customFormat="false" ht="14.25" hidden="false" customHeight="true" outlineLevel="0" collapsed="false">
      <c r="A173" s="171" t="s">
        <v>565</v>
      </c>
      <c r="B173" s="186" t="n">
        <v>55</v>
      </c>
      <c r="C173" s="245" t="n">
        <f aca="false">B173*0.75</f>
        <v>41.25</v>
      </c>
    </row>
    <row r="174" customFormat="false" ht="14.25" hidden="false" customHeight="true" outlineLevel="0" collapsed="false">
      <c r="A174" s="171" t="s">
        <v>566</v>
      </c>
      <c r="B174" s="186" t="n">
        <v>65</v>
      </c>
      <c r="C174" s="245" t="n">
        <f aca="false">B174*0.75</f>
        <v>48.75</v>
      </c>
    </row>
    <row r="175" customFormat="false" ht="14.25" hidden="false" customHeight="true" outlineLevel="0" collapsed="false">
      <c r="A175" s="171" t="s">
        <v>567</v>
      </c>
      <c r="B175" s="186" t="n">
        <v>65</v>
      </c>
      <c r="C175" s="245" t="n">
        <f aca="false">B175*0.75</f>
        <v>48.75</v>
      </c>
    </row>
    <row r="176" customFormat="false" ht="14.25" hidden="false" customHeight="true" outlineLevel="0" collapsed="false">
      <c r="A176" s="171" t="s">
        <v>568</v>
      </c>
      <c r="B176" s="186" t="n">
        <v>55</v>
      </c>
      <c r="C176" s="245" t="n">
        <f aca="false">B176*0.75</f>
        <v>41.25</v>
      </c>
    </row>
    <row r="177" customFormat="false" ht="14.25" hidden="false" customHeight="true" outlineLevel="0" collapsed="false">
      <c r="A177" s="171" t="s">
        <v>569</v>
      </c>
      <c r="B177" s="186" t="n">
        <v>60</v>
      </c>
      <c r="C177" s="245" t="n">
        <f aca="false">B177*0.75</f>
        <v>45</v>
      </c>
    </row>
    <row r="178" customFormat="false" ht="14.25" hidden="false" customHeight="true" outlineLevel="0" collapsed="false">
      <c r="A178" s="171" t="s">
        <v>570</v>
      </c>
      <c r="B178" s="186" t="n">
        <v>70</v>
      </c>
      <c r="C178" s="245" t="n">
        <f aca="false">B178*0.75</f>
        <v>52.5</v>
      </c>
    </row>
    <row r="179" customFormat="false" ht="14.25" hidden="false" customHeight="true" outlineLevel="0" collapsed="false">
      <c r="A179" s="171" t="s">
        <v>571</v>
      </c>
      <c r="B179" s="186" t="n">
        <v>80</v>
      </c>
      <c r="C179" s="245" t="n">
        <f aca="false">B179*0.75</f>
        <v>60</v>
      </c>
    </row>
    <row r="180" customFormat="false" ht="14.25" hidden="false" customHeight="true" outlineLevel="0" collapsed="false">
      <c r="A180" s="171" t="s">
        <v>572</v>
      </c>
      <c r="B180" s="186" t="n">
        <v>50</v>
      </c>
      <c r="C180" s="245" t="n">
        <f aca="false">B180*0.75</f>
        <v>37.5</v>
      </c>
    </row>
    <row r="181" customFormat="false" ht="14.25" hidden="false" customHeight="true" outlineLevel="0" collapsed="false">
      <c r="A181" s="171" t="s">
        <v>573</v>
      </c>
      <c r="B181" s="186" t="n">
        <v>70</v>
      </c>
      <c r="C181" s="245" t="n">
        <f aca="false">B181*0.75</f>
        <v>52.5</v>
      </c>
    </row>
    <row r="182" customFormat="false" ht="14.25" hidden="false" customHeight="true" outlineLevel="0" collapsed="false">
      <c r="A182" s="171" t="s">
        <v>574</v>
      </c>
      <c r="B182" s="186" t="n">
        <v>40</v>
      </c>
      <c r="C182" s="245" t="n">
        <f aca="false">B182*0.75</f>
        <v>30</v>
      </c>
    </row>
    <row r="183" customFormat="false" ht="14.25" hidden="false" customHeight="true" outlineLevel="0" collapsed="false">
      <c r="A183" s="171" t="s">
        <v>575</v>
      </c>
      <c r="B183" s="186" t="n">
        <v>100</v>
      </c>
      <c r="C183" s="245" t="n">
        <f aca="false">B183*0.75</f>
        <v>75</v>
      </c>
    </row>
    <row r="184" customFormat="false" ht="14.25" hidden="false" customHeight="true" outlineLevel="0" collapsed="false">
      <c r="A184" s="171" t="s">
        <v>576</v>
      </c>
      <c r="B184" s="186" t="n">
        <v>100</v>
      </c>
      <c r="C184" s="245" t="n">
        <f aca="false">B184*0.75</f>
        <v>75</v>
      </c>
    </row>
    <row r="185" customFormat="false" ht="14.25" hidden="false" customHeight="true" outlineLevel="0" collapsed="false">
      <c r="A185" s="171" t="s">
        <v>577</v>
      </c>
      <c r="B185" s="186" t="n">
        <v>45</v>
      </c>
      <c r="C185" s="245" t="n">
        <f aca="false">B185*0.75</f>
        <v>33.75</v>
      </c>
    </row>
    <row r="186" customFormat="false" ht="14.25" hidden="false" customHeight="true" outlineLevel="0" collapsed="false">
      <c r="A186" s="171" t="s">
        <v>578</v>
      </c>
      <c r="B186" s="186" t="n">
        <v>30</v>
      </c>
      <c r="C186" s="245" t="n">
        <f aca="false">B186*0.75</f>
        <v>22.5</v>
      </c>
    </row>
    <row r="187" customFormat="false" ht="14.25" hidden="false" customHeight="true" outlineLevel="0" collapsed="false">
      <c r="A187" s="171" t="s">
        <v>579</v>
      </c>
      <c r="B187" s="186" t="n">
        <v>40</v>
      </c>
      <c r="C187" s="245" t="n">
        <f aca="false">B187*0.75</f>
        <v>30</v>
      </c>
    </row>
    <row r="188" customFormat="false" ht="14.25" hidden="false" customHeight="true" outlineLevel="0" collapsed="false">
      <c r="A188" s="243" t="s">
        <v>580</v>
      </c>
      <c r="B188" s="244"/>
      <c r="C188" s="244"/>
      <c r="D188" s="244"/>
      <c r="E188" s="244"/>
      <c r="F188" s="244"/>
    </row>
    <row r="189" customFormat="false" ht="14.25" hidden="false" customHeight="true" outlineLevel="0" collapsed="false">
      <c r="A189" s="171" t="s">
        <v>581</v>
      </c>
      <c r="B189" s="186" t="n">
        <v>45</v>
      </c>
      <c r="C189" s="245" t="n">
        <f aca="false">B189*0.75</f>
        <v>33.75</v>
      </c>
    </row>
    <row r="190" customFormat="false" ht="14.25" hidden="false" customHeight="true" outlineLevel="0" collapsed="false">
      <c r="A190" s="171" t="s">
        <v>582</v>
      </c>
      <c r="B190" s="186" t="n">
        <v>110</v>
      </c>
      <c r="C190" s="245" t="n">
        <f aca="false">B190*0.75</f>
        <v>82.5</v>
      </c>
    </row>
    <row r="191" customFormat="false" ht="14.25" hidden="false" customHeight="true" outlineLevel="0" collapsed="false">
      <c r="A191" s="171" t="s">
        <v>583</v>
      </c>
      <c r="B191" s="186" t="n">
        <v>45</v>
      </c>
      <c r="C191" s="245" t="n">
        <f aca="false">B191*0.75</f>
        <v>33.75</v>
      </c>
    </row>
    <row r="192" customFormat="false" ht="14.25" hidden="false" customHeight="true" outlineLevel="0" collapsed="false">
      <c r="A192" s="171" t="s">
        <v>584</v>
      </c>
      <c r="B192" s="186" t="n">
        <v>100</v>
      </c>
      <c r="C192" s="245" t="n">
        <f aca="false">B192*0.75</f>
        <v>75</v>
      </c>
    </row>
    <row r="193" customFormat="false" ht="14.25" hidden="false" customHeight="true" outlineLevel="0" collapsed="false">
      <c r="A193" s="171" t="s">
        <v>585</v>
      </c>
      <c r="B193" s="186" t="n">
        <v>150</v>
      </c>
      <c r="C193" s="245" t="n">
        <f aca="false">B193*0.75</f>
        <v>112.5</v>
      </c>
    </row>
    <row r="194" customFormat="false" ht="14.25" hidden="false" customHeight="true" outlineLevel="0" collapsed="false">
      <c r="A194" s="171" t="s">
        <v>586</v>
      </c>
      <c r="B194" s="186" t="n">
        <v>50</v>
      </c>
      <c r="C194" s="245" t="n">
        <f aca="false">B194*0.75</f>
        <v>37.5</v>
      </c>
    </row>
    <row r="195" customFormat="false" ht="14.25" hidden="false" customHeight="true" outlineLevel="0" collapsed="false">
      <c r="A195" s="171" t="s">
        <v>587</v>
      </c>
      <c r="B195" s="186" t="n">
        <v>50</v>
      </c>
      <c r="C195" s="245" t="n">
        <f aca="false">B195*0.75</f>
        <v>37.5</v>
      </c>
    </row>
    <row r="196" customFormat="false" ht="14.25" hidden="false" customHeight="true" outlineLevel="0" collapsed="false">
      <c r="A196" s="171" t="s">
        <v>588</v>
      </c>
      <c r="B196" s="186" t="n">
        <v>125</v>
      </c>
      <c r="C196" s="245" t="n">
        <f aca="false">B196*0.75</f>
        <v>93.75</v>
      </c>
    </row>
    <row r="197" customFormat="false" ht="14.25" hidden="false" customHeight="true" outlineLevel="0" collapsed="false">
      <c r="A197" s="171" t="s">
        <v>589</v>
      </c>
      <c r="B197" s="186" t="n">
        <v>150</v>
      </c>
      <c r="C197" s="245" t="n">
        <f aca="false">B197*0.75</f>
        <v>112.5</v>
      </c>
    </row>
    <row r="198" customFormat="false" ht="14.25" hidden="false" customHeight="true" outlineLevel="0" collapsed="false">
      <c r="A198" s="171" t="s">
        <v>590</v>
      </c>
      <c r="B198" s="186" t="n">
        <v>20</v>
      </c>
      <c r="C198" s="245" t="n">
        <f aca="false">B198*0.75</f>
        <v>15</v>
      </c>
    </row>
    <row r="199" customFormat="false" ht="14.25" hidden="false" customHeight="true" outlineLevel="0" collapsed="false">
      <c r="A199" s="171" t="s">
        <v>591</v>
      </c>
      <c r="B199" s="186" t="n">
        <v>20</v>
      </c>
      <c r="C199" s="245" t="n">
        <f aca="false">B199*0.75</f>
        <v>15</v>
      </c>
    </row>
    <row r="200" customFormat="false" ht="14.25" hidden="false" customHeight="true" outlineLevel="0" collapsed="false">
      <c r="A200" s="246" t="s">
        <v>592</v>
      </c>
      <c r="B200" s="247"/>
      <c r="C200" s="247"/>
      <c r="D200" s="247"/>
      <c r="E200" s="247"/>
      <c r="F200" s="247"/>
    </row>
    <row r="201" customFormat="false" ht="14.25" hidden="false" customHeight="true" outlineLevel="0" collapsed="false">
      <c r="A201" s="180" t="s">
        <v>593</v>
      </c>
      <c r="B201" s="248" t="n">
        <v>185</v>
      </c>
      <c r="C201" s="249" t="n">
        <v>138.75</v>
      </c>
      <c r="D201" s="179"/>
    </row>
    <row r="202" customFormat="false" ht="14.25" hidden="false" customHeight="true" outlineLevel="0" collapsed="false">
      <c r="A202" s="180" t="s">
        <v>594</v>
      </c>
      <c r="B202" s="248" t="n">
        <v>160</v>
      </c>
      <c r="C202" s="249" t="n">
        <v>120</v>
      </c>
      <c r="D202" s="179"/>
    </row>
    <row r="203" customFormat="false" ht="14.25" hidden="false" customHeight="true" outlineLevel="0" collapsed="false">
      <c r="A203" s="243" t="s">
        <v>595</v>
      </c>
      <c r="B203" s="244"/>
      <c r="C203" s="244"/>
      <c r="D203" s="244"/>
      <c r="E203" s="244"/>
      <c r="F203" s="244"/>
    </row>
    <row r="204" customFormat="false" ht="14.25" hidden="false" customHeight="true" outlineLevel="0" collapsed="false">
      <c r="A204" s="171" t="s">
        <v>596</v>
      </c>
      <c r="B204" s="245" t="n">
        <v>10</v>
      </c>
      <c r="C204" s="245" t="n">
        <f aca="false">B204*0.75</f>
        <v>7.5</v>
      </c>
    </row>
    <row r="205" customFormat="false" ht="14.25" hidden="false" customHeight="true" outlineLevel="0" collapsed="false">
      <c r="A205" s="171" t="s">
        <v>597</v>
      </c>
      <c r="B205" s="186" t="n">
        <v>99</v>
      </c>
      <c r="C205" s="245" t="n">
        <f aca="false">B205*0.75</f>
        <v>74.25</v>
      </c>
    </row>
    <row r="206" customFormat="false" ht="14.25" hidden="false" customHeight="true" outlineLevel="0" collapsed="false">
      <c r="A206" s="171" t="s">
        <v>598</v>
      </c>
      <c r="B206" s="186" t="n">
        <v>100</v>
      </c>
      <c r="C206" s="245" t="n">
        <f aca="false">B206*0.75</f>
        <v>75</v>
      </c>
    </row>
    <row r="207" customFormat="false" ht="14.25" hidden="false" customHeight="true" outlineLevel="0" collapsed="false">
      <c r="A207" s="171" t="s">
        <v>599</v>
      </c>
      <c r="B207" s="186" t="n">
        <v>99</v>
      </c>
      <c r="C207" s="245" t="n">
        <f aca="false">B207*0.75</f>
        <v>74.25</v>
      </c>
    </row>
    <row r="208" customFormat="false" ht="14.25" hidden="false" customHeight="true" outlineLevel="0" collapsed="false">
      <c r="A208" s="171" t="s">
        <v>600</v>
      </c>
      <c r="B208" s="186" t="n">
        <v>99</v>
      </c>
      <c r="C208" s="245" t="n">
        <f aca="false">B208*0.75</f>
        <v>74.25</v>
      </c>
    </row>
    <row r="209" customFormat="false" ht="14.25" hidden="false" customHeight="true" outlineLevel="0" collapsed="false">
      <c r="A209" s="171" t="s">
        <v>601</v>
      </c>
      <c r="B209" s="245" t="n">
        <v>5</v>
      </c>
      <c r="C209" s="245" t="n">
        <f aca="false">B209*0.75</f>
        <v>3.75</v>
      </c>
    </row>
    <row r="210" customFormat="false" ht="14.25" hidden="false" customHeight="true" outlineLevel="0" collapsed="false">
      <c r="A210" s="171" t="s">
        <v>602</v>
      </c>
      <c r="B210" s="186" t="n">
        <v>99</v>
      </c>
      <c r="C210" s="245" t="n">
        <f aca="false">B210*0.75</f>
        <v>74.25</v>
      </c>
    </row>
    <row r="211" customFormat="false" ht="14.25" hidden="false" customHeight="true" outlineLevel="0" collapsed="false">
      <c r="A211" s="171" t="s">
        <v>603</v>
      </c>
      <c r="B211" s="186" t="n">
        <v>465</v>
      </c>
      <c r="C211" s="245" t="n">
        <f aca="false">B211*0.75</f>
        <v>348.75</v>
      </c>
    </row>
    <row r="212" customFormat="false" ht="14.25" hidden="false" customHeight="true" outlineLevel="0" collapsed="false">
      <c r="A212" s="171" t="s">
        <v>604</v>
      </c>
      <c r="B212" s="186" t="n">
        <v>100</v>
      </c>
      <c r="C212" s="245" t="n">
        <f aca="false">B212*0.75</f>
        <v>75</v>
      </c>
    </row>
    <row r="213" customFormat="false" ht="14.25" hidden="false" customHeight="true" outlineLevel="0" collapsed="false">
      <c r="A213" s="171" t="s">
        <v>605</v>
      </c>
      <c r="B213" s="186" t="n">
        <v>50</v>
      </c>
      <c r="C213" s="245" t="n">
        <f aca="false">B213*0.75</f>
        <v>37.5</v>
      </c>
    </row>
    <row r="214" customFormat="false" ht="14.25" hidden="false" customHeight="true" outlineLevel="0" collapsed="false">
      <c r="A214" s="171" t="s">
        <v>606</v>
      </c>
      <c r="B214" s="186" t="n">
        <v>100</v>
      </c>
      <c r="C214" s="245" t="n">
        <f aca="false">B214*0.75</f>
        <v>75</v>
      </c>
    </row>
    <row r="215" customFormat="false" ht="14.25" hidden="false" customHeight="true" outlineLevel="0" collapsed="false">
      <c r="A215" s="171" t="s">
        <v>607</v>
      </c>
      <c r="B215" s="186" t="n">
        <v>155</v>
      </c>
      <c r="C215" s="245" t="n">
        <f aca="false">B215*0.75</f>
        <v>116.25</v>
      </c>
    </row>
    <row r="217" customFormat="false" ht="21" hidden="false" customHeight="true" outlineLevel="0" collapsed="false">
      <c r="A217" s="250" t="s">
        <v>608</v>
      </c>
      <c r="B217" s="251" t="s">
        <v>609</v>
      </c>
      <c r="C217" s="252"/>
    </row>
    <row r="218" customFormat="false" ht="14.25" hidden="false" customHeight="true" outlineLevel="0" collapsed="false">
      <c r="A218" s="253"/>
      <c r="B218" s="254" t="s">
        <v>27</v>
      </c>
      <c r="C218" s="254" t="s">
        <v>521</v>
      </c>
    </row>
    <row r="219" customFormat="false" ht="14.25" hidden="false" customHeight="true" outlineLevel="0" collapsed="false">
      <c r="A219" s="255" t="s">
        <v>610</v>
      </c>
      <c r="B219" s="256"/>
      <c r="C219" s="256"/>
    </row>
    <row r="220" customFormat="false" ht="14.25" hidden="false" customHeight="true" outlineLevel="0" collapsed="false">
      <c r="A220" s="171" t="s">
        <v>611</v>
      </c>
      <c r="B220" s="186" t="n">
        <v>150</v>
      </c>
      <c r="C220" s="186" t="n">
        <v>100</v>
      </c>
    </row>
    <row r="221" customFormat="false" ht="14.25" hidden="false" customHeight="true" outlineLevel="0" collapsed="false">
      <c r="A221" s="171" t="s">
        <v>612</v>
      </c>
      <c r="B221" s="186" t="n">
        <v>150</v>
      </c>
      <c r="C221" s="186" t="n">
        <v>100</v>
      </c>
    </row>
    <row r="222" customFormat="false" ht="14.25" hidden="false" customHeight="true" outlineLevel="0" collapsed="false">
      <c r="A222" s="171" t="s">
        <v>613</v>
      </c>
      <c r="B222" s="186" t="n">
        <v>150</v>
      </c>
      <c r="C222" s="186" t="n">
        <v>100</v>
      </c>
    </row>
    <row r="223" customFormat="false" ht="14.25" hidden="false" customHeight="true" outlineLevel="0" collapsed="false">
      <c r="A223" s="257" t="s">
        <v>614</v>
      </c>
      <c r="B223" s="193" t="n">
        <v>150</v>
      </c>
      <c r="C223" s="193" t="n">
        <v>100</v>
      </c>
    </row>
    <row r="224" customFormat="false" ht="14.25" hidden="false" customHeight="true" outlineLevel="0" collapsed="false">
      <c r="A224" s="171" t="s">
        <v>615</v>
      </c>
      <c r="B224" s="186" t="n">
        <v>225</v>
      </c>
      <c r="C224" s="186" t="n">
        <v>150</v>
      </c>
    </row>
    <row r="225" customFormat="false" ht="14.25" hidden="false" customHeight="true" outlineLevel="0" collapsed="false">
      <c r="A225" s="171" t="s">
        <v>616</v>
      </c>
      <c r="B225" s="186" t="n">
        <v>150</v>
      </c>
      <c r="C225" s="186" t="n">
        <v>100</v>
      </c>
    </row>
    <row r="227" customFormat="false" ht="21" hidden="false" customHeight="true" outlineLevel="0" collapsed="false">
      <c r="A227" s="258" t="s">
        <v>617</v>
      </c>
      <c r="B227" s="259" t="s">
        <v>618</v>
      </c>
      <c r="C227" s="260"/>
    </row>
    <row r="228" customFormat="false" ht="14.25" hidden="false" customHeight="true" outlineLevel="0" collapsed="false">
      <c r="A228" s="261" t="s">
        <v>619</v>
      </c>
      <c r="B228" s="260"/>
      <c r="C228" s="260"/>
    </row>
    <row r="229" customFormat="false" ht="14.25" hidden="false" customHeight="true" outlineLevel="0" collapsed="false">
      <c r="A229" s="262"/>
      <c r="B229" s="263" t="s">
        <v>27</v>
      </c>
      <c r="C229" s="263" t="s">
        <v>521</v>
      </c>
    </row>
    <row r="230" customFormat="false" ht="14.25" hidden="false" customHeight="true" outlineLevel="0" collapsed="false">
      <c r="A230" s="264" t="s">
        <v>620</v>
      </c>
      <c r="B230" s="265"/>
      <c r="C230" s="265"/>
    </row>
    <row r="231" customFormat="false" ht="14.25" hidden="false" customHeight="true" outlineLevel="0" collapsed="false">
      <c r="A231" s="257" t="s">
        <v>621</v>
      </c>
      <c r="B231" s="266" t="n">
        <v>799.99</v>
      </c>
      <c r="C231" s="266" t="n">
        <f aca="false">B231*0.8</f>
        <v>639.992</v>
      </c>
    </row>
    <row r="232" customFormat="false" ht="14.25" hidden="false" customHeight="true" outlineLevel="0" collapsed="false">
      <c r="A232" s="171" t="s">
        <v>622</v>
      </c>
      <c r="B232" s="245" t="n">
        <v>799.99</v>
      </c>
      <c r="C232" s="245" t="n">
        <f aca="false">B232*0.8</f>
        <v>639.992</v>
      </c>
    </row>
    <row r="233" customFormat="false" ht="14.25" hidden="false" customHeight="true" outlineLevel="0" collapsed="false">
      <c r="A233" s="171" t="s">
        <v>623</v>
      </c>
      <c r="B233" s="245" t="n">
        <v>799.99</v>
      </c>
      <c r="C233" s="245" t="n">
        <f aca="false">B233*0.8</f>
        <v>639.992</v>
      </c>
    </row>
    <row r="234" customFormat="false" ht="14.25" hidden="false" customHeight="true" outlineLevel="0" collapsed="false">
      <c r="A234" s="171" t="s">
        <v>624</v>
      </c>
      <c r="B234" s="245" t="n">
        <v>799.99</v>
      </c>
      <c r="C234" s="245" t="n">
        <f aca="false">B234*0.8</f>
        <v>639.992</v>
      </c>
    </row>
    <row r="235" customFormat="false" ht="14.25" hidden="false" customHeight="true" outlineLevel="0" collapsed="false">
      <c r="A235" s="171" t="s">
        <v>625</v>
      </c>
      <c r="B235" s="245" t="n">
        <v>799.99</v>
      </c>
      <c r="C235" s="245" t="n">
        <f aca="false">B235*0.8</f>
        <v>639.992</v>
      </c>
    </row>
    <row r="236" customFormat="false" ht="14.25" hidden="false" customHeight="true" outlineLevel="0" collapsed="false">
      <c r="A236" s="264" t="s">
        <v>626</v>
      </c>
      <c r="B236" s="265"/>
      <c r="C236" s="265"/>
    </row>
    <row r="237" customFormat="false" ht="14.25" hidden="false" customHeight="true" outlineLevel="0" collapsed="false">
      <c r="A237" s="257" t="s">
        <v>627</v>
      </c>
      <c r="B237" s="266" t="n">
        <v>779.99</v>
      </c>
      <c r="C237" s="266" t="n">
        <f aca="false">B237*0.8</f>
        <v>623.992</v>
      </c>
    </row>
    <row r="238" customFormat="false" ht="14.25" hidden="false" customHeight="true" outlineLevel="0" collapsed="false">
      <c r="A238" s="171" t="s">
        <v>628</v>
      </c>
      <c r="B238" s="245" t="n">
        <v>779.99</v>
      </c>
      <c r="C238" s="245" t="n">
        <f aca="false">B238*0.8</f>
        <v>623.992</v>
      </c>
    </row>
    <row r="239" customFormat="false" ht="14.25" hidden="false" customHeight="true" outlineLevel="0" collapsed="false">
      <c r="A239" s="171" t="s">
        <v>629</v>
      </c>
      <c r="B239" s="245" t="n">
        <v>779.99</v>
      </c>
      <c r="C239" s="245" t="n">
        <f aca="false">B239*0.8</f>
        <v>623.992</v>
      </c>
    </row>
    <row r="240" customFormat="false" ht="14.25" hidden="false" customHeight="true" outlineLevel="0" collapsed="false">
      <c r="A240" s="171" t="s">
        <v>630</v>
      </c>
      <c r="B240" s="245" t="n">
        <v>780</v>
      </c>
      <c r="C240" s="245" t="n">
        <f aca="false">B240*0.8</f>
        <v>624</v>
      </c>
    </row>
    <row r="241" customFormat="false" ht="14.25" hidden="false" customHeight="true" outlineLevel="0" collapsed="false">
      <c r="A241" s="171" t="s">
        <v>631</v>
      </c>
      <c r="B241" s="245" t="n">
        <v>779.99</v>
      </c>
      <c r="C241" s="245" t="n">
        <f aca="false">B241*0.8</f>
        <v>623.992</v>
      </c>
    </row>
    <row r="242" customFormat="false" ht="14.25" hidden="false" customHeight="true" outlineLevel="0" collapsed="false">
      <c r="A242" s="264" t="s">
        <v>632</v>
      </c>
      <c r="B242" s="265"/>
      <c r="C242" s="265"/>
    </row>
    <row r="243" customFormat="false" ht="14.25" hidden="false" customHeight="true" outlineLevel="0" collapsed="false">
      <c r="A243" s="257" t="s">
        <v>633</v>
      </c>
      <c r="B243" s="266" t="n">
        <v>1599.95</v>
      </c>
      <c r="C243" s="266" t="n">
        <f aca="false">B243*0.8</f>
        <v>1279.96</v>
      </c>
    </row>
    <row r="244" customFormat="false" ht="14.25" hidden="false" customHeight="true" outlineLevel="0" collapsed="false">
      <c r="A244" s="257"/>
      <c r="B244" s="266"/>
      <c r="C244" s="266"/>
    </row>
    <row r="245" customFormat="false" ht="14.25" hidden="false" customHeight="true" outlineLevel="0" collapsed="false">
      <c r="E245" s="267"/>
    </row>
    <row r="246" customFormat="false" ht="21" hidden="false" customHeight="true" outlineLevel="0" collapsed="false">
      <c r="A246" s="268" t="s">
        <v>634</v>
      </c>
      <c r="B246" s="269" t="s">
        <v>635</v>
      </c>
      <c r="C246" s="270"/>
      <c r="D246" s="270"/>
      <c r="E246" s="267"/>
    </row>
    <row r="247" customFormat="false" ht="14.25" hidden="false" customHeight="true" outlineLevel="0" collapsed="false">
      <c r="A247" s="271" t="s">
        <v>636</v>
      </c>
      <c r="B247" s="270"/>
      <c r="C247" s="270"/>
      <c r="D247" s="270"/>
      <c r="E247" s="267"/>
    </row>
    <row r="248" customFormat="false" ht="14.25" hidden="false" customHeight="true" outlineLevel="0" collapsed="false">
      <c r="E248" s="267"/>
    </row>
    <row r="249" customFormat="false" ht="14.25" hidden="false" customHeight="true" outlineLevel="0" collapsed="false">
      <c r="A249" s="272" t="s">
        <v>637</v>
      </c>
      <c r="B249" s="273" t="s">
        <v>81</v>
      </c>
      <c r="C249" s="273" t="s">
        <v>521</v>
      </c>
      <c r="D249" s="273" t="s">
        <v>638</v>
      </c>
      <c r="E249" s="267"/>
    </row>
    <row r="250" customFormat="false" ht="14.25" hidden="false" customHeight="true" outlineLevel="0" collapsed="false">
      <c r="A250" s="213" t="s">
        <v>639</v>
      </c>
      <c r="B250" s="214" t="n">
        <v>689</v>
      </c>
      <c r="C250" s="214" t="n">
        <f aca="false">B250*0.8</f>
        <v>551.2</v>
      </c>
      <c r="D250" s="274" t="s">
        <v>640</v>
      </c>
    </row>
    <row r="251" customFormat="false" ht="14.25" hidden="false" customHeight="true" outlineLevel="0" collapsed="false">
      <c r="A251" s="213" t="s">
        <v>641</v>
      </c>
      <c r="B251" s="214" t="n">
        <v>689</v>
      </c>
      <c r="C251" s="214" t="n">
        <f aca="false">B251*0.8</f>
        <v>551.2</v>
      </c>
      <c r="D251" s="274" t="s">
        <v>640</v>
      </c>
      <c r="E251" s="267"/>
    </row>
    <row r="252" customFormat="false" ht="14.25" hidden="false" customHeight="true" outlineLevel="0" collapsed="false">
      <c r="A252" s="213" t="s">
        <v>642</v>
      </c>
      <c r="B252" s="214" t="n">
        <v>689</v>
      </c>
      <c r="C252" s="214" t="n">
        <f aca="false">B252*0.8</f>
        <v>551.2</v>
      </c>
      <c r="D252" s="274" t="s">
        <v>640</v>
      </c>
      <c r="E252" s="267"/>
    </row>
    <row r="253" customFormat="false" ht="14.25" hidden="false" customHeight="true" outlineLevel="0" collapsed="false">
      <c r="A253" s="213" t="s">
        <v>643</v>
      </c>
      <c r="B253" s="214" t="n">
        <v>719</v>
      </c>
      <c r="C253" s="214" t="n">
        <f aca="false">B253*0.8</f>
        <v>575.2</v>
      </c>
      <c r="D253" s="274" t="s">
        <v>640</v>
      </c>
      <c r="E253" s="267"/>
    </row>
    <row r="254" customFormat="false" ht="14.25" hidden="false" customHeight="true" outlineLevel="0" collapsed="false">
      <c r="A254" s="213" t="s">
        <v>644</v>
      </c>
      <c r="B254" s="214" t="n">
        <v>719</v>
      </c>
      <c r="C254" s="214" t="n">
        <f aca="false">B254*0.8</f>
        <v>575.2</v>
      </c>
      <c r="D254" s="274" t="s">
        <v>640</v>
      </c>
      <c r="E254" s="267"/>
    </row>
    <row r="255" customFormat="false" ht="14.25" hidden="false" customHeight="true" outlineLevel="0" collapsed="false">
      <c r="A255" s="213" t="s">
        <v>645</v>
      </c>
      <c r="B255" s="214" t="n">
        <v>719</v>
      </c>
      <c r="C255" s="214" t="n">
        <f aca="false">B255*0.8</f>
        <v>575.2</v>
      </c>
      <c r="D255" s="274" t="s">
        <v>640</v>
      </c>
      <c r="E255" s="267"/>
    </row>
    <row r="256" customFormat="false" ht="14.25" hidden="false" customHeight="true" outlineLevel="0" collapsed="false">
      <c r="A256" s="213" t="s">
        <v>646</v>
      </c>
      <c r="B256" s="214" t="n">
        <v>719</v>
      </c>
      <c r="C256" s="214" t="n">
        <f aca="false">B256*0.8</f>
        <v>575.2</v>
      </c>
      <c r="D256" s="274" t="s">
        <v>640</v>
      </c>
      <c r="E256" s="267"/>
    </row>
    <row r="257" customFormat="false" ht="14.25" hidden="false" customHeight="true" outlineLevel="0" collapsed="false">
      <c r="A257" s="213" t="s">
        <v>647</v>
      </c>
      <c r="B257" s="214" t="n">
        <v>719</v>
      </c>
      <c r="C257" s="214" t="n">
        <f aca="false">B257*0.8</f>
        <v>575.2</v>
      </c>
      <c r="D257" s="274" t="s">
        <v>640</v>
      </c>
      <c r="E257" s="267"/>
    </row>
    <row r="258" customFormat="false" ht="14.25" hidden="false" customHeight="true" outlineLevel="0" collapsed="false">
      <c r="A258" s="213" t="s">
        <v>648</v>
      </c>
      <c r="B258" s="214" t="n">
        <v>899</v>
      </c>
      <c r="C258" s="214" t="n">
        <f aca="false">B258*0.8</f>
        <v>719.2</v>
      </c>
      <c r="D258" s="274" t="s">
        <v>640</v>
      </c>
      <c r="E258" s="267"/>
    </row>
    <row r="259" customFormat="false" ht="14.25" hidden="false" customHeight="true" outlineLevel="0" collapsed="false">
      <c r="A259" s="213" t="s">
        <v>649</v>
      </c>
      <c r="B259" s="214" t="n">
        <v>849</v>
      </c>
      <c r="C259" s="214" t="n">
        <f aca="false">B259*0.8</f>
        <v>679.2</v>
      </c>
      <c r="D259" s="274" t="s">
        <v>640</v>
      </c>
      <c r="E259" s="267"/>
    </row>
    <row r="260" customFormat="false" ht="14.25" hidden="false" customHeight="true" outlineLevel="0" collapsed="false">
      <c r="A260" s="213" t="s">
        <v>650</v>
      </c>
      <c r="B260" s="214" t="n">
        <v>849</v>
      </c>
      <c r="C260" s="214" t="n">
        <f aca="false">B260*0.8</f>
        <v>679.2</v>
      </c>
      <c r="D260" s="274" t="s">
        <v>640</v>
      </c>
      <c r="E260" s="267"/>
    </row>
    <row r="261" customFormat="false" ht="14.25" hidden="false" customHeight="true" outlineLevel="0" collapsed="false">
      <c r="A261" s="213" t="s">
        <v>651</v>
      </c>
      <c r="B261" s="214" t="n">
        <v>849</v>
      </c>
      <c r="C261" s="214" t="n">
        <f aca="false">B261*0.8</f>
        <v>679.2</v>
      </c>
      <c r="D261" s="274" t="s">
        <v>640</v>
      </c>
      <c r="E261" s="267"/>
    </row>
    <row r="262" customFormat="false" ht="14.25" hidden="false" customHeight="true" outlineLevel="0" collapsed="false">
      <c r="A262" s="213" t="s">
        <v>652</v>
      </c>
      <c r="B262" s="214" t="n">
        <v>849</v>
      </c>
      <c r="C262" s="214" t="n">
        <f aca="false">B262*0.8</f>
        <v>679.2</v>
      </c>
      <c r="D262" s="274" t="s">
        <v>640</v>
      </c>
      <c r="E262" s="267"/>
    </row>
    <row r="263" customFormat="false" ht="14.25" hidden="false" customHeight="true" outlineLevel="0" collapsed="false">
      <c r="B263" s="172"/>
      <c r="C263" s="172"/>
      <c r="D263" s="172"/>
    </row>
    <row r="264" customFormat="false" ht="14.25" hidden="false" customHeight="true" outlineLevel="0" collapsed="false">
      <c r="A264" s="272" t="s">
        <v>653</v>
      </c>
      <c r="B264" s="273" t="s">
        <v>81</v>
      </c>
      <c r="C264" s="273" t="s">
        <v>521</v>
      </c>
      <c r="D264" s="273" t="s">
        <v>638</v>
      </c>
      <c r="E264" s="275"/>
    </row>
    <row r="265" customFormat="false" ht="14.25" hidden="false" customHeight="true" outlineLevel="0" collapsed="false">
      <c r="A265" s="213" t="s">
        <v>654</v>
      </c>
      <c r="B265" s="214" t="n">
        <v>399</v>
      </c>
      <c r="C265" s="214" t="n">
        <f aca="false">B265-50</f>
        <v>349</v>
      </c>
      <c r="D265" s="274" t="s">
        <v>655</v>
      </c>
      <c r="E265" s="275"/>
    </row>
    <row r="266" customFormat="false" ht="14.25" hidden="false" customHeight="true" outlineLevel="0" collapsed="false">
      <c r="A266" s="213" t="s">
        <v>656</v>
      </c>
      <c r="B266" s="214" t="n">
        <v>399</v>
      </c>
      <c r="C266" s="214" t="n">
        <f aca="false">B266-50</f>
        <v>349</v>
      </c>
      <c r="D266" s="274" t="s">
        <v>655</v>
      </c>
      <c r="E266" s="275"/>
    </row>
    <row r="267" customFormat="false" ht="14.25" hidden="false" customHeight="true" outlineLevel="0" collapsed="false">
      <c r="A267" s="213" t="s">
        <v>657</v>
      </c>
      <c r="B267" s="214" t="n">
        <v>399</v>
      </c>
      <c r="C267" s="214" t="n">
        <f aca="false">B267-50</f>
        <v>349</v>
      </c>
      <c r="D267" s="274" t="s">
        <v>655</v>
      </c>
      <c r="E267" s="275"/>
    </row>
    <row r="268" customFormat="false" ht="14.25" hidden="false" customHeight="true" outlineLevel="0" collapsed="false">
      <c r="A268" s="213" t="s">
        <v>658</v>
      </c>
      <c r="B268" s="214" t="n">
        <v>449</v>
      </c>
      <c r="C268" s="214" t="n">
        <f aca="false">B268-50</f>
        <v>399</v>
      </c>
      <c r="D268" s="274" t="s">
        <v>655</v>
      </c>
      <c r="E268" s="267"/>
    </row>
    <row r="269" customFormat="false" ht="14.25" hidden="false" customHeight="true" outlineLevel="0" collapsed="false">
      <c r="A269" s="213" t="s">
        <v>659</v>
      </c>
      <c r="B269" s="214" t="n">
        <v>449</v>
      </c>
      <c r="C269" s="214" t="n">
        <f aca="false">B269-50</f>
        <v>399</v>
      </c>
      <c r="D269" s="274" t="s">
        <v>655</v>
      </c>
      <c r="E269" s="267"/>
    </row>
    <row r="270" customFormat="false" ht="14.25" hidden="false" customHeight="true" outlineLevel="0" collapsed="false">
      <c r="A270" s="213" t="s">
        <v>660</v>
      </c>
      <c r="B270" s="214" t="n">
        <v>449</v>
      </c>
      <c r="C270" s="214" t="n">
        <f aca="false">B270-50</f>
        <v>399</v>
      </c>
      <c r="D270" s="274" t="s">
        <v>655</v>
      </c>
      <c r="E270" s="275"/>
    </row>
    <row r="271" customFormat="false" ht="14.25" hidden="false" customHeight="true" outlineLevel="0" collapsed="false">
      <c r="A271" s="213" t="s">
        <v>661</v>
      </c>
      <c r="B271" s="214" t="n">
        <v>679</v>
      </c>
      <c r="C271" s="214" t="n">
        <f aca="false">B271-50</f>
        <v>629</v>
      </c>
      <c r="D271" s="274" t="s">
        <v>655</v>
      </c>
      <c r="E271" s="275"/>
    </row>
    <row r="272" customFormat="false" ht="14.25" hidden="false" customHeight="true" outlineLevel="0" collapsed="false">
      <c r="A272" s="213" t="s">
        <v>662</v>
      </c>
      <c r="B272" s="214" t="n">
        <v>579</v>
      </c>
      <c r="C272" s="214" t="n">
        <f aca="false">B272-50</f>
        <v>529</v>
      </c>
      <c r="D272" s="274" t="s">
        <v>655</v>
      </c>
      <c r="E272" s="275"/>
    </row>
    <row r="273" customFormat="false" ht="14.25" hidden="false" customHeight="true" outlineLevel="0" collapsed="false">
      <c r="A273" s="213" t="s">
        <v>663</v>
      </c>
      <c r="B273" s="214" t="n">
        <v>579</v>
      </c>
      <c r="C273" s="214" t="n">
        <f aca="false">B273-50</f>
        <v>529</v>
      </c>
      <c r="D273" s="274" t="s">
        <v>655</v>
      </c>
      <c r="E273" s="275"/>
    </row>
    <row r="274" customFormat="false" ht="14.25" hidden="false" customHeight="true" outlineLevel="0" collapsed="false">
      <c r="A274" s="213" t="s">
        <v>664</v>
      </c>
      <c r="B274" s="214" t="n">
        <v>579</v>
      </c>
      <c r="C274" s="214" t="n">
        <f aca="false">B274-50</f>
        <v>529</v>
      </c>
      <c r="D274" s="274" t="s">
        <v>655</v>
      </c>
      <c r="E274" s="275"/>
    </row>
    <row r="275" customFormat="false" ht="14.25" hidden="false" customHeight="true" outlineLevel="0" collapsed="false">
      <c r="A275" s="213" t="s">
        <v>665</v>
      </c>
      <c r="B275" s="214" t="n">
        <v>579</v>
      </c>
      <c r="C275" s="214" t="n">
        <f aca="false">B275-50</f>
        <v>529</v>
      </c>
      <c r="D275" s="274" t="s">
        <v>655</v>
      </c>
      <c r="E275" s="275"/>
    </row>
    <row r="276" customFormat="false" ht="14.25" hidden="false" customHeight="true" outlineLevel="0" collapsed="false">
      <c r="A276" s="272"/>
      <c r="B276" s="273"/>
      <c r="C276" s="273"/>
      <c r="D276" s="273"/>
      <c r="E276" s="275"/>
    </row>
    <row r="277" customFormat="false" ht="14.25" hidden="false" customHeight="true" outlineLevel="0" collapsed="false">
      <c r="A277" s="272" t="s">
        <v>666</v>
      </c>
      <c r="B277" s="273" t="s">
        <v>81</v>
      </c>
      <c r="C277" s="273" t="s">
        <v>521</v>
      </c>
      <c r="D277" s="273" t="s">
        <v>638</v>
      </c>
      <c r="E277" s="275"/>
    </row>
    <row r="278" customFormat="false" ht="14.25" hidden="false" customHeight="true" outlineLevel="0" collapsed="false">
      <c r="A278" s="213" t="s">
        <v>667</v>
      </c>
      <c r="B278" s="214" t="n">
        <v>199</v>
      </c>
      <c r="C278" s="214" t="n">
        <f aca="false">B278*0.8</f>
        <v>159.2</v>
      </c>
      <c r="D278" s="274" t="s">
        <v>640</v>
      </c>
      <c r="E278" s="275"/>
    </row>
    <row r="279" customFormat="false" ht="14.25" hidden="false" customHeight="true" outlineLevel="0" collapsed="false">
      <c r="A279" s="213" t="s">
        <v>668</v>
      </c>
      <c r="B279" s="214" t="n">
        <v>199</v>
      </c>
      <c r="C279" s="214" t="n">
        <f aca="false">B279*0.8</f>
        <v>159.2</v>
      </c>
      <c r="D279" s="274" t="s">
        <v>640</v>
      </c>
      <c r="E279" s="275"/>
    </row>
    <row r="280" customFormat="false" ht="14.25" hidden="false" customHeight="true" outlineLevel="0" collapsed="false">
      <c r="A280" s="213" t="s">
        <v>669</v>
      </c>
      <c r="B280" s="214" t="n">
        <v>199</v>
      </c>
      <c r="C280" s="214" t="n">
        <f aca="false">B280*0.8</f>
        <v>159.2</v>
      </c>
      <c r="D280" s="274" t="s">
        <v>640</v>
      </c>
      <c r="E280" s="275"/>
    </row>
    <row r="281" customFormat="false" ht="14.25" hidden="false" customHeight="true" outlineLevel="0" collapsed="false">
      <c r="A281" s="213" t="s">
        <v>670</v>
      </c>
      <c r="B281" s="214" t="n">
        <v>199</v>
      </c>
      <c r="C281" s="214" t="n">
        <f aca="false">B281*0.8</f>
        <v>159.2</v>
      </c>
      <c r="D281" s="274" t="s">
        <v>640</v>
      </c>
      <c r="E281" s="275"/>
    </row>
    <row r="282" customFormat="false" ht="14.25" hidden="false" customHeight="true" outlineLevel="0" collapsed="false">
      <c r="A282" s="213" t="s">
        <v>671</v>
      </c>
      <c r="B282" s="214" t="n">
        <v>199</v>
      </c>
      <c r="C282" s="214" t="n">
        <f aca="false">B282*0.8</f>
        <v>159.2</v>
      </c>
      <c r="D282" s="274" t="s">
        <v>640</v>
      </c>
      <c r="E282" s="275"/>
    </row>
    <row r="283" customFormat="false" ht="14.25" hidden="false" customHeight="true" outlineLevel="0" collapsed="false">
      <c r="B283" s="172"/>
      <c r="C283" s="172"/>
      <c r="D283" s="172"/>
      <c r="E283" s="275"/>
    </row>
    <row r="284" customFormat="false" ht="14.25" hidden="false" customHeight="true" outlineLevel="0" collapsed="false">
      <c r="A284" s="272" t="s">
        <v>672</v>
      </c>
      <c r="B284" s="273" t="s">
        <v>81</v>
      </c>
      <c r="C284" s="273" t="s">
        <v>521</v>
      </c>
      <c r="D284" s="273" t="s">
        <v>638</v>
      </c>
      <c r="E284" s="275"/>
    </row>
    <row r="285" customFormat="false" ht="14.25" hidden="false" customHeight="true" outlineLevel="0" collapsed="false">
      <c r="A285" s="213" t="s">
        <v>673</v>
      </c>
      <c r="B285" s="214" t="n">
        <v>50</v>
      </c>
      <c r="C285" s="214" t="n">
        <f aca="false">B285*0.8</f>
        <v>40</v>
      </c>
      <c r="D285" s="274" t="s">
        <v>640</v>
      </c>
      <c r="E285" s="275"/>
    </row>
    <row r="286" customFormat="false" ht="14.25" hidden="false" customHeight="true" outlineLevel="0" collapsed="false">
      <c r="A286" s="213" t="s">
        <v>674</v>
      </c>
      <c r="B286" s="214" t="n">
        <v>50</v>
      </c>
      <c r="C286" s="214" t="n">
        <f aca="false">B286*0.8</f>
        <v>40</v>
      </c>
      <c r="D286" s="274" t="s">
        <v>640</v>
      </c>
      <c r="E286" s="275"/>
    </row>
    <row r="287" customFormat="false" ht="14.25" hidden="false" customHeight="true" outlineLevel="0" collapsed="false">
      <c r="A287" s="213" t="s">
        <v>675</v>
      </c>
      <c r="B287" s="214" t="n">
        <v>55</v>
      </c>
      <c r="C287" s="214" t="n">
        <f aca="false">B287*0.8</f>
        <v>44</v>
      </c>
      <c r="D287" s="274" t="s">
        <v>640</v>
      </c>
      <c r="E287" s="275"/>
    </row>
    <row r="288" customFormat="false" ht="14.25" hidden="false" customHeight="true" outlineLevel="0" collapsed="false">
      <c r="A288" s="213" t="s">
        <v>676</v>
      </c>
      <c r="B288" s="214" t="n">
        <v>60</v>
      </c>
      <c r="C288" s="214" t="n">
        <f aca="false">B288*0.8</f>
        <v>48</v>
      </c>
      <c r="D288" s="274" t="s">
        <v>640</v>
      </c>
      <c r="E288" s="275"/>
    </row>
    <row r="289" customFormat="false" ht="14.25" hidden="false" customHeight="true" outlineLevel="0" collapsed="false">
      <c r="A289" s="213" t="s">
        <v>677</v>
      </c>
      <c r="B289" s="214" t="n">
        <v>75</v>
      </c>
      <c r="C289" s="214" t="n">
        <f aca="false">B289*0.8</f>
        <v>60</v>
      </c>
      <c r="D289" s="274" t="s">
        <v>640</v>
      </c>
      <c r="E289" s="275"/>
    </row>
    <row r="290" customFormat="false" ht="14.25" hidden="false" customHeight="true" outlineLevel="0" collapsed="false">
      <c r="A290" s="213"/>
      <c r="B290" s="214"/>
      <c r="C290" s="214"/>
      <c r="D290" s="274"/>
      <c r="E290" s="275"/>
    </row>
    <row r="291" customFormat="false" ht="21" hidden="false" customHeight="true" outlineLevel="0" collapsed="false">
      <c r="A291" s="276" t="s">
        <v>678</v>
      </c>
      <c r="B291" s="277" t="s">
        <v>679</v>
      </c>
      <c r="C291" s="278"/>
    </row>
    <row r="292" customFormat="false" ht="14.25" hidden="false" customHeight="true" outlineLevel="0" collapsed="false">
      <c r="A292" s="279" t="s">
        <v>680</v>
      </c>
      <c r="B292" s="278"/>
      <c r="C292" s="278"/>
    </row>
    <row r="293" customFormat="false" ht="14.25" hidden="false" customHeight="true" outlineLevel="0" collapsed="false">
      <c r="A293" s="262"/>
      <c r="B293" s="263" t="s">
        <v>27</v>
      </c>
      <c r="C293" s="263" t="s">
        <v>521</v>
      </c>
    </row>
    <row r="294" customFormat="false" ht="14.25" hidden="false" customHeight="true" outlineLevel="0" collapsed="false">
      <c r="A294" s="171" t="s">
        <v>681</v>
      </c>
      <c r="B294" s="245" t="n">
        <v>1599.99</v>
      </c>
      <c r="C294" s="245" t="n">
        <f aca="false">B294*0.9</f>
        <v>1439.991</v>
      </c>
    </row>
    <row r="295" customFormat="false" ht="14.25" hidden="false" customHeight="true" outlineLevel="0" collapsed="false">
      <c r="A295" s="171" t="s">
        <v>682</v>
      </c>
      <c r="B295" s="245" t="n">
        <v>1199.99</v>
      </c>
      <c r="C295" s="245" t="n">
        <f aca="false">B295*0.9</f>
        <v>1079.991</v>
      </c>
    </row>
    <row r="296" customFormat="false" ht="14.25" hidden="false" customHeight="true" outlineLevel="0" collapsed="false">
      <c r="A296" s="257" t="s">
        <v>683</v>
      </c>
      <c r="B296" s="266" t="n">
        <v>1599.99</v>
      </c>
      <c r="C296" s="266" t="n">
        <f aca="false">B296*0.9</f>
        <v>1439.991</v>
      </c>
    </row>
    <row r="297" customFormat="false" ht="14.25" hidden="false" customHeight="true" outlineLevel="0" collapsed="false">
      <c r="A297" s="171" t="s">
        <v>684</v>
      </c>
      <c r="B297" s="245" t="n">
        <v>1299.99</v>
      </c>
      <c r="C297" s="245" t="n">
        <f aca="false">B297*0.9</f>
        <v>1169.991</v>
      </c>
    </row>
    <row r="298" customFormat="false" ht="14.25" hidden="false" customHeight="true" outlineLevel="0" collapsed="false">
      <c r="A298" s="280" t="s">
        <v>685</v>
      </c>
      <c r="B298" s="281"/>
      <c r="C298" s="281"/>
    </row>
    <row r="299" customFormat="false" ht="14.25" hidden="false" customHeight="true" outlineLevel="0" collapsed="false">
      <c r="A299" s="171" t="s">
        <v>686</v>
      </c>
      <c r="B299" s="245" t="n">
        <v>209.99</v>
      </c>
      <c r="C299" s="245" t="n">
        <f aca="false">B299*0.9</f>
        <v>188.991</v>
      </c>
    </row>
    <row r="300" customFormat="false" ht="14.25" hidden="false" customHeight="true" outlineLevel="0" collapsed="false">
      <c r="A300" s="171" t="s">
        <v>687</v>
      </c>
      <c r="B300" s="245" t="n">
        <v>109.99</v>
      </c>
      <c r="C300" s="245" t="n">
        <f aca="false">B300*0.9</f>
        <v>98.991</v>
      </c>
    </row>
    <row r="301" customFormat="false" ht="14.25" hidden="false" customHeight="true" outlineLevel="0" collapsed="false">
      <c r="A301" s="257" t="s">
        <v>688</v>
      </c>
      <c r="B301" s="266" t="n">
        <v>299.99</v>
      </c>
      <c r="C301" s="266" t="n">
        <f aca="false">B301*0.9</f>
        <v>269.991</v>
      </c>
    </row>
    <row r="302" customFormat="false" ht="14.25" hidden="false" customHeight="true" outlineLevel="0" collapsed="false">
      <c r="A302" s="257" t="s">
        <v>689</v>
      </c>
      <c r="B302" s="266" t="n">
        <v>449.99</v>
      </c>
      <c r="C302" s="266" t="n">
        <f aca="false">B302*0.9</f>
        <v>404.991</v>
      </c>
    </row>
    <row r="303" customFormat="false" ht="14.25" hidden="false" customHeight="true" outlineLevel="0" collapsed="false">
      <c r="A303" s="171" t="s">
        <v>690</v>
      </c>
      <c r="B303" s="245" t="n">
        <v>599.99</v>
      </c>
      <c r="C303" s="245" t="n">
        <f aca="false">B303*0.9</f>
        <v>539.991</v>
      </c>
    </row>
    <row r="304" customFormat="false" ht="14.25" hidden="false" customHeight="true" outlineLevel="0" collapsed="false">
      <c r="A304" s="171" t="s">
        <v>691</v>
      </c>
      <c r="B304" s="245" t="n">
        <v>799.99</v>
      </c>
      <c r="C304" s="245" t="n">
        <f aca="false">B304*0.9</f>
        <v>719.991</v>
      </c>
    </row>
    <row r="305" customFormat="false" ht="14.25" hidden="false" customHeight="true" outlineLevel="0" collapsed="false">
      <c r="A305" s="171" t="s">
        <v>692</v>
      </c>
      <c r="B305" s="245" t="n">
        <v>999.99</v>
      </c>
      <c r="C305" s="245" t="n">
        <f aca="false">B305*0.9</f>
        <v>899.991</v>
      </c>
    </row>
    <row r="306" customFormat="false" ht="14.25" hidden="false" customHeight="true" outlineLevel="0" collapsed="false">
      <c r="A306" s="171" t="s">
        <v>693</v>
      </c>
      <c r="B306" s="245" t="n">
        <v>699.99</v>
      </c>
      <c r="C306" s="245" t="n">
        <f aca="false">B306*0.9</f>
        <v>629.991</v>
      </c>
    </row>
    <row r="307" customFormat="false" ht="14.25" hidden="false" customHeight="true" outlineLevel="0" collapsed="false">
      <c r="A307" s="171" t="s">
        <v>694</v>
      </c>
      <c r="B307" s="245" t="n">
        <v>899.99</v>
      </c>
      <c r="C307" s="245" t="n">
        <f aca="false">B307*0.9</f>
        <v>809.991</v>
      </c>
    </row>
    <row r="308" customFormat="false" ht="14.25" hidden="false" customHeight="true" outlineLevel="0" collapsed="false">
      <c r="A308" s="280" t="s">
        <v>695</v>
      </c>
      <c r="B308" s="281"/>
      <c r="C308" s="281"/>
    </row>
    <row r="309" customFormat="false" ht="14.25" hidden="false" customHeight="true" outlineLevel="0" collapsed="false">
      <c r="A309" s="171" t="s">
        <v>696</v>
      </c>
      <c r="B309" s="245" t="n">
        <v>39.99</v>
      </c>
      <c r="C309" s="245" t="n">
        <f aca="false">B309*0.9</f>
        <v>35.991</v>
      </c>
    </row>
    <row r="310" customFormat="false" ht="14.25" hidden="false" customHeight="true" outlineLevel="0" collapsed="false">
      <c r="A310" s="257" t="s">
        <v>697</v>
      </c>
      <c r="B310" s="266" t="n">
        <v>34.99</v>
      </c>
      <c r="C310" s="266" t="n">
        <f aca="false">B310*0.9</f>
        <v>31.491</v>
      </c>
    </row>
    <row r="311" customFormat="false" ht="14.25" hidden="false" customHeight="true" outlineLevel="0" collapsed="false">
      <c r="A311" s="171" t="s">
        <v>698</v>
      </c>
      <c r="B311" s="245" t="n">
        <v>34.99</v>
      </c>
      <c r="C311" s="245" t="n">
        <f aca="false">B311*0.9</f>
        <v>31.491</v>
      </c>
    </row>
    <row r="312" customFormat="false" ht="14.25" hidden="false" customHeight="true" outlineLevel="0" collapsed="false">
      <c r="A312" s="171" t="s">
        <v>699</v>
      </c>
      <c r="B312" s="245" t="n">
        <v>49.99</v>
      </c>
      <c r="C312" s="245" t="n">
        <f aca="false">B312*0.9</f>
        <v>44.991</v>
      </c>
    </row>
    <row r="313" customFormat="false" ht="14.25" hidden="false" customHeight="true" outlineLevel="0" collapsed="false">
      <c r="A313" s="171" t="s">
        <v>700</v>
      </c>
      <c r="B313" s="245" t="n">
        <v>49.99</v>
      </c>
      <c r="C313" s="245" t="n">
        <f aca="false">B313*0.9</f>
        <v>44.991</v>
      </c>
    </row>
    <row r="314" customFormat="false" ht="14.25" hidden="false" customHeight="true" outlineLevel="0" collapsed="false">
      <c r="A314" s="257" t="s">
        <v>701</v>
      </c>
      <c r="B314" s="266" t="n">
        <v>49.99</v>
      </c>
      <c r="C314" s="266" t="n">
        <f aca="false">B314*0.9</f>
        <v>44.991</v>
      </c>
    </row>
    <row r="315" customFormat="false" ht="14.25" hidden="false" customHeight="true" outlineLevel="0" collapsed="false">
      <c r="A315" s="171" t="s">
        <v>702</v>
      </c>
      <c r="B315" s="245" t="n">
        <v>49.99</v>
      </c>
      <c r="C315" s="245" t="n">
        <f aca="false">B315*0.9</f>
        <v>44.991</v>
      </c>
    </row>
    <row r="316" customFormat="false" ht="14.25" hidden="false" customHeight="true" outlineLevel="0" collapsed="false">
      <c r="A316" s="171" t="s">
        <v>703</v>
      </c>
      <c r="B316" s="245" t="n">
        <v>49.99</v>
      </c>
      <c r="C316" s="245" t="n">
        <f aca="false">B316*0.9</f>
        <v>44.991</v>
      </c>
    </row>
    <row r="317" customFormat="false" ht="14.25" hidden="false" customHeight="true" outlineLevel="0" collapsed="false">
      <c r="A317" s="171" t="s">
        <v>704</v>
      </c>
      <c r="B317" s="245" t="n">
        <v>69.99</v>
      </c>
      <c r="C317" s="245" t="n">
        <f aca="false">B317*0.9</f>
        <v>62.991</v>
      </c>
    </row>
    <row r="318" customFormat="false" ht="14.25" hidden="false" customHeight="true" outlineLevel="0" collapsed="false">
      <c r="A318" s="280" t="s">
        <v>705</v>
      </c>
      <c r="B318" s="281"/>
      <c r="C318" s="281"/>
    </row>
    <row r="319" customFormat="false" ht="14.25" hidden="false" customHeight="true" outlineLevel="0" collapsed="false">
      <c r="A319" s="171" t="s">
        <v>706</v>
      </c>
      <c r="B319" s="245" t="n">
        <v>69.99</v>
      </c>
      <c r="C319" s="245" t="n">
        <f aca="false">B319*0.9</f>
        <v>62.991</v>
      </c>
    </row>
    <row r="320" customFormat="false" ht="14.25" hidden="false" customHeight="true" outlineLevel="0" collapsed="false">
      <c r="A320" s="171" t="s">
        <v>707</v>
      </c>
      <c r="B320" s="245" t="n">
        <v>79.99</v>
      </c>
      <c r="C320" s="245" t="n">
        <f aca="false">B320*0.9</f>
        <v>71.991</v>
      </c>
    </row>
    <row r="321" customFormat="false" ht="14.25" hidden="false" customHeight="true" outlineLevel="0" collapsed="false">
      <c r="A321" s="171" t="s">
        <v>708</v>
      </c>
      <c r="B321" s="245" t="n">
        <v>67.99</v>
      </c>
      <c r="C321" s="245" t="n">
        <f aca="false">B321*0.9</f>
        <v>61.191</v>
      </c>
    </row>
    <row r="322" customFormat="false" ht="14.25" hidden="false" customHeight="true" outlineLevel="0" collapsed="false">
      <c r="A322" s="171" t="s">
        <v>709</v>
      </c>
      <c r="B322" s="245" t="n">
        <v>79.99</v>
      </c>
      <c r="C322" s="245" t="n">
        <f aca="false">B322*0.9</f>
        <v>71.991</v>
      </c>
    </row>
    <row r="323" customFormat="false" ht="14.25" hidden="false" customHeight="true" outlineLevel="0" collapsed="false">
      <c r="A323" s="171" t="s">
        <v>710</v>
      </c>
      <c r="B323" s="245" t="n">
        <v>79.99</v>
      </c>
      <c r="C323" s="245" t="n">
        <f aca="false">B323*0.9</f>
        <v>71.991</v>
      </c>
    </row>
    <row r="324" customFormat="false" ht="14.25" hidden="false" customHeight="true" outlineLevel="0" collapsed="false">
      <c r="A324" s="171" t="s">
        <v>711</v>
      </c>
      <c r="B324" s="245" t="n">
        <v>89.99</v>
      </c>
      <c r="C324" s="245" t="n">
        <f aca="false">B324*0.9</f>
        <v>80.991</v>
      </c>
    </row>
    <row r="325" customFormat="false" ht="14.25" hidden="false" customHeight="true" outlineLevel="0" collapsed="false">
      <c r="A325" s="171" t="s">
        <v>712</v>
      </c>
      <c r="B325" s="245" t="n">
        <v>69.99</v>
      </c>
      <c r="C325" s="245" t="n">
        <f aca="false">B325*0.9</f>
        <v>62.991</v>
      </c>
    </row>
    <row r="326" customFormat="false" ht="14.25" hidden="false" customHeight="true" outlineLevel="0" collapsed="false">
      <c r="A326" s="171" t="s">
        <v>713</v>
      </c>
      <c r="B326" s="245" t="n">
        <v>79.99</v>
      </c>
      <c r="C326" s="245" t="n">
        <f aca="false">B326*0.9</f>
        <v>71.991</v>
      </c>
    </row>
    <row r="327" customFormat="false" ht="14.25" hidden="false" customHeight="true" outlineLevel="0" collapsed="false">
      <c r="A327" s="171" t="s">
        <v>714</v>
      </c>
      <c r="B327" s="245" t="n">
        <v>99.99</v>
      </c>
      <c r="C327" s="245" t="n">
        <f aca="false">B327*0.9</f>
        <v>89.991</v>
      </c>
    </row>
    <row r="328" customFormat="false" ht="14.25" hidden="false" customHeight="true" outlineLevel="0" collapsed="false">
      <c r="A328" s="171" t="s">
        <v>715</v>
      </c>
      <c r="B328" s="245" t="n">
        <v>99.99</v>
      </c>
      <c r="C328" s="245" t="n">
        <f aca="false">B328*0.9</f>
        <v>89.991</v>
      </c>
    </row>
    <row r="330" customFormat="false" ht="21" hidden="false" customHeight="true" outlineLevel="0" collapsed="false">
      <c r="A330" s="282" t="s">
        <v>716</v>
      </c>
      <c r="B330" s="283" t="s">
        <v>717</v>
      </c>
      <c r="C330" s="284"/>
    </row>
    <row r="331" customFormat="false" ht="14.25" hidden="false" customHeight="true" outlineLevel="0" collapsed="false">
      <c r="A331" s="285" t="s">
        <v>718</v>
      </c>
      <c r="B331" s="284"/>
      <c r="C331" s="284"/>
    </row>
    <row r="332" customFormat="false" ht="14.25" hidden="false" customHeight="true" outlineLevel="0" collapsed="false">
      <c r="A332" s="241"/>
      <c r="B332" s="242" t="s">
        <v>27</v>
      </c>
      <c r="C332" s="242" t="s">
        <v>138</v>
      </c>
    </row>
    <row r="333" customFormat="false" ht="14.25" hidden="false" customHeight="true" outlineLevel="0" collapsed="false">
      <c r="A333" s="286" t="s">
        <v>719</v>
      </c>
      <c r="B333" s="244"/>
      <c r="C333" s="244"/>
    </row>
    <row r="334" customFormat="false" ht="14.25" hidden="false" customHeight="true" outlineLevel="0" collapsed="false">
      <c r="A334" s="171" t="s">
        <v>720</v>
      </c>
      <c r="B334" s="245" t="n">
        <v>424</v>
      </c>
      <c r="C334" s="186" t="n">
        <v>374.25</v>
      </c>
    </row>
    <row r="335" customFormat="false" ht="14.25" hidden="false" customHeight="true" outlineLevel="0" collapsed="false">
      <c r="A335" s="171" t="s">
        <v>721</v>
      </c>
      <c r="B335" s="245" t="n">
        <v>424</v>
      </c>
      <c r="C335" s="186" t="n">
        <v>374.25</v>
      </c>
    </row>
    <row r="336" customFormat="false" ht="14.25" hidden="false" customHeight="true" outlineLevel="0" collapsed="false">
      <c r="A336" s="171" t="s">
        <v>722</v>
      </c>
      <c r="B336" s="245" t="n">
        <v>509</v>
      </c>
      <c r="C336" s="186" t="n">
        <v>449.25</v>
      </c>
    </row>
    <row r="337" customFormat="false" ht="14.25" hidden="false" customHeight="true" outlineLevel="0" collapsed="false">
      <c r="A337" s="171" t="s">
        <v>723</v>
      </c>
      <c r="B337" s="245" t="n">
        <v>569</v>
      </c>
      <c r="C337" s="186" t="n">
        <v>501.75</v>
      </c>
    </row>
    <row r="338" customFormat="false" ht="14.25" hidden="false" customHeight="true" outlineLevel="0" collapsed="false">
      <c r="A338" s="171" t="s">
        <v>724</v>
      </c>
      <c r="B338" s="245" t="n">
        <v>654</v>
      </c>
      <c r="C338" s="186" t="n">
        <v>576.75</v>
      </c>
    </row>
    <row r="339" customFormat="false" ht="14.25" hidden="false" customHeight="true" outlineLevel="0" collapsed="false">
      <c r="A339" s="286" t="s">
        <v>725</v>
      </c>
      <c r="B339" s="244"/>
      <c r="C339" s="244"/>
    </row>
    <row r="340" customFormat="false" ht="14.25" hidden="false" customHeight="true" outlineLevel="0" collapsed="false">
      <c r="A340" s="171" t="s">
        <v>726</v>
      </c>
      <c r="B340" s="245" t="n">
        <v>49</v>
      </c>
      <c r="C340" s="186" t="n">
        <v>44</v>
      </c>
    </row>
    <row r="341" customFormat="false" ht="14.25" hidden="false" customHeight="true" outlineLevel="0" collapsed="false">
      <c r="A341" s="171" t="s">
        <v>727</v>
      </c>
      <c r="B341" s="245" t="n">
        <v>79</v>
      </c>
      <c r="C341" s="186" t="n">
        <v>71</v>
      </c>
    </row>
    <row r="342" customFormat="false" ht="14.25" hidden="false" customHeight="true" outlineLevel="0" collapsed="false">
      <c r="A342" s="171" t="s">
        <v>728</v>
      </c>
      <c r="B342" s="245" t="n">
        <v>13</v>
      </c>
      <c r="C342" s="186" t="n">
        <v>12</v>
      </c>
    </row>
    <row r="343" customFormat="false" ht="14.25" hidden="false" customHeight="true" outlineLevel="0" collapsed="false">
      <c r="A343" s="171" t="s">
        <v>729</v>
      </c>
      <c r="B343" s="245" t="n">
        <v>49</v>
      </c>
      <c r="C343" s="186" t="n">
        <v>44</v>
      </c>
    </row>
    <row r="344" customFormat="false" ht="14.25" hidden="false" customHeight="true" outlineLevel="0" collapsed="false">
      <c r="A344" s="171" t="s">
        <v>730</v>
      </c>
      <c r="B344" s="245" t="n">
        <v>69</v>
      </c>
      <c r="C344" s="186" t="n">
        <v>62</v>
      </c>
    </row>
    <row r="345" customFormat="false" ht="14.25" hidden="false" customHeight="true" outlineLevel="0" collapsed="false">
      <c r="A345" s="171" t="s">
        <v>731</v>
      </c>
      <c r="B345" s="245" t="n">
        <v>99</v>
      </c>
      <c r="C345" s="186" t="n">
        <v>89</v>
      </c>
    </row>
    <row r="346" customFormat="false" ht="14.25" hidden="false" customHeight="true" outlineLevel="0" collapsed="false">
      <c r="A346" s="171" t="s">
        <v>732</v>
      </c>
      <c r="B346" s="245" t="n">
        <v>139</v>
      </c>
      <c r="C346" s="186" t="n">
        <v>125</v>
      </c>
    </row>
    <row r="347" customFormat="false" ht="14.25" hidden="false" customHeight="true" outlineLevel="0" collapsed="false">
      <c r="A347" s="171" t="s">
        <v>733</v>
      </c>
      <c r="B347" s="245" t="n">
        <v>35</v>
      </c>
      <c r="C347" s="186" t="n">
        <v>31.5</v>
      </c>
    </row>
    <row r="348" customFormat="false" ht="14.25" hidden="false" customHeight="true" outlineLevel="0" collapsed="false">
      <c r="A348" s="171" t="s">
        <v>734</v>
      </c>
      <c r="B348" s="245" t="n">
        <v>55</v>
      </c>
      <c r="C348" s="186" t="n">
        <v>49.5</v>
      </c>
    </row>
    <row r="349" customFormat="false" ht="14.25" hidden="false" customHeight="true" outlineLevel="0" collapsed="false">
      <c r="A349" s="171" t="s">
        <v>735</v>
      </c>
      <c r="B349" s="245" t="n">
        <v>25</v>
      </c>
      <c r="C349" s="186" t="n">
        <v>22.5</v>
      </c>
    </row>
    <row r="350" customFormat="false" ht="14.25" hidden="false" customHeight="true" outlineLevel="0" collapsed="false">
      <c r="A350" s="171" t="s">
        <v>736</v>
      </c>
      <c r="B350" s="245" t="n">
        <v>99</v>
      </c>
      <c r="C350" s="186" t="n">
        <v>89.1</v>
      </c>
    </row>
    <row r="351" customFormat="false" ht="14.25" hidden="false" customHeight="true" outlineLevel="0" collapsed="false">
      <c r="A351" s="171" t="s">
        <v>737</v>
      </c>
      <c r="B351" s="245" t="n">
        <v>119</v>
      </c>
      <c r="C351" s="186" t="n">
        <v>107</v>
      </c>
    </row>
    <row r="352" customFormat="false" ht="14.25" hidden="false" customHeight="true" outlineLevel="0" collapsed="false">
      <c r="A352" s="171" t="s">
        <v>738</v>
      </c>
      <c r="B352" s="245" t="n">
        <v>169</v>
      </c>
      <c r="C352" s="186" t="n">
        <v>152</v>
      </c>
    </row>
    <row r="353" customFormat="false" ht="14.25" hidden="false" customHeight="true" outlineLevel="0" collapsed="false">
      <c r="A353" s="171" t="s">
        <v>739</v>
      </c>
      <c r="B353" s="245" t="n">
        <v>199</v>
      </c>
      <c r="C353" s="186" t="n">
        <v>179</v>
      </c>
    </row>
    <row r="354" customFormat="false" ht="14.25" hidden="false" customHeight="true" outlineLevel="0" collapsed="false">
      <c r="A354" s="171" t="s">
        <v>740</v>
      </c>
      <c r="B354" s="245" t="n">
        <v>249</v>
      </c>
      <c r="C354" s="186" t="n">
        <v>224</v>
      </c>
    </row>
    <row r="355" customFormat="false" ht="14.25" hidden="false" customHeight="true" outlineLevel="0" collapsed="false">
      <c r="A355" s="171" t="s">
        <v>741</v>
      </c>
      <c r="B355" s="245" t="n">
        <v>12</v>
      </c>
      <c r="C355" s="186" t="n">
        <v>11</v>
      </c>
    </row>
    <row r="356" customFormat="false" ht="14.25" hidden="false" customHeight="true" outlineLevel="0" collapsed="false">
      <c r="A356" s="171" t="s">
        <v>742</v>
      </c>
      <c r="B356" s="245" t="n">
        <v>35</v>
      </c>
      <c r="C356" s="186" t="n">
        <v>31.5</v>
      </c>
    </row>
    <row r="357" customFormat="false" ht="14.25" hidden="false" customHeight="true" outlineLevel="0" collapsed="false">
      <c r="A357" s="286" t="s">
        <v>743</v>
      </c>
      <c r="B357" s="244"/>
      <c r="C357" s="244"/>
    </row>
    <row r="358" customFormat="false" ht="14.25" hidden="false" customHeight="true" outlineLevel="0" collapsed="false">
      <c r="A358" s="171" t="s">
        <v>744</v>
      </c>
      <c r="B358" s="245" t="n">
        <v>135</v>
      </c>
      <c r="C358" s="186" t="n">
        <v>135</v>
      </c>
    </row>
    <row r="359" customFormat="false" ht="14.25" hidden="false" customHeight="true" outlineLevel="0" collapsed="false">
      <c r="A359" s="171" t="s">
        <v>745</v>
      </c>
      <c r="B359" s="245" t="n">
        <v>275</v>
      </c>
      <c r="C359" s="186" t="n">
        <v>247.5</v>
      </c>
    </row>
    <row r="360" customFormat="false" ht="14.25" hidden="false" customHeight="true" outlineLevel="0" collapsed="false">
      <c r="A360" s="171" t="s">
        <v>746</v>
      </c>
      <c r="B360" s="245" t="n">
        <v>175</v>
      </c>
      <c r="C360" s="186" t="n">
        <v>157.5</v>
      </c>
    </row>
    <row r="361" customFormat="false" ht="14.25" hidden="false" customHeight="true" outlineLevel="0" collapsed="false">
      <c r="A361" s="171" t="s">
        <v>747</v>
      </c>
      <c r="B361" s="245" t="n">
        <v>250</v>
      </c>
      <c r="C361" s="186" t="n">
        <v>225</v>
      </c>
    </row>
    <row r="362" customFormat="false" ht="14.25" hidden="false" customHeight="true" outlineLevel="0" collapsed="false">
      <c r="A362" s="171"/>
      <c r="B362" s="245"/>
      <c r="C362" s="186"/>
    </row>
    <row r="363" customFormat="false" ht="15" hidden="false" customHeight="true" outlineLevel="0" collapsed="false">
      <c r="A363" s="287" t="s">
        <v>748</v>
      </c>
      <c r="B363" s="288" t="s">
        <v>749</v>
      </c>
      <c r="C363" s="289"/>
      <c r="D363" s="289"/>
      <c r="E363" s="289"/>
      <c r="F363" s="289"/>
    </row>
    <row r="364" customFormat="false" ht="14.25" hidden="false" customHeight="true" outlineLevel="0" collapsed="false">
      <c r="A364" s="230" t="s">
        <v>534</v>
      </c>
      <c r="B364" s="231" t="s">
        <v>750</v>
      </c>
      <c r="C364" s="231" t="s">
        <v>751</v>
      </c>
      <c r="D364" s="231" t="s">
        <v>752</v>
      </c>
      <c r="E364" s="231" t="s">
        <v>7</v>
      </c>
    </row>
    <row r="365" customFormat="false" ht="14.25" hidden="false" customHeight="true" outlineLevel="0" collapsed="false">
      <c r="A365" s="232" t="s">
        <v>753</v>
      </c>
      <c r="B365" s="290" t="s">
        <v>754</v>
      </c>
      <c r="C365" s="291" t="n">
        <v>645.95</v>
      </c>
      <c r="D365" s="291" t="n">
        <v>645.95</v>
      </c>
      <c r="E365" s="217" t="s">
        <v>755</v>
      </c>
    </row>
    <row r="366" customFormat="false" ht="14.25" hidden="false" customHeight="true" outlineLevel="0" collapsed="false">
      <c r="C366" s="292" t="s">
        <v>756</v>
      </c>
      <c r="D366" s="236" t="n">
        <v>645.95</v>
      </c>
    </row>
    <row r="367" customFormat="false" ht="14.25" hidden="false" customHeight="true" outlineLevel="0" collapsed="false">
      <c r="A367" s="1" t="s">
        <v>757</v>
      </c>
      <c r="B367" s="293" t="n">
        <v>46032</v>
      </c>
      <c r="C367" s="234" t="n">
        <v>634.95</v>
      </c>
      <c r="D367" s="234" t="n">
        <v>634.95</v>
      </c>
      <c r="E367" s="1" t="s">
        <v>758</v>
      </c>
    </row>
    <row r="368" customFormat="false" ht="14.25" hidden="false" customHeight="true" outlineLevel="0" collapsed="false">
      <c r="E368" s="1" t="s">
        <v>759</v>
      </c>
    </row>
    <row r="369" customFormat="false" ht="14.25" hidden="false" customHeight="true" outlineLevel="0" collapsed="false">
      <c r="E369" s="1" t="s">
        <v>760</v>
      </c>
    </row>
    <row r="371" customFormat="false" ht="15" hidden="false" customHeight="true" outlineLevel="0" collapsed="false">
      <c r="A371" s="287" t="s">
        <v>761</v>
      </c>
      <c r="B371" s="288"/>
      <c r="C371" s="289"/>
    </row>
    <row r="372" customFormat="false" ht="14.25" hidden="false" customHeight="true" outlineLevel="0" collapsed="false">
      <c r="A372" s="230" t="s">
        <v>534</v>
      </c>
      <c r="B372" s="231" t="s">
        <v>750</v>
      </c>
      <c r="C372" s="231" t="s">
        <v>751</v>
      </c>
    </row>
    <row r="373" customFormat="false" ht="14.25" hidden="false" customHeight="true" outlineLevel="0" collapsed="false">
      <c r="A373" s="213" t="s">
        <v>762</v>
      </c>
      <c r="B373" s="216" t="n">
        <v>1</v>
      </c>
      <c r="C373" s="235" t="n">
        <v>290</v>
      </c>
    </row>
    <row r="374" customFormat="false" ht="14.25" hidden="false" customHeight="true" outlineLevel="0" collapsed="false">
      <c r="A374" s="213" t="s">
        <v>763</v>
      </c>
      <c r="B374" s="216" t="n">
        <v>1</v>
      </c>
      <c r="C374" s="235" t="n">
        <v>365</v>
      </c>
    </row>
    <row r="375" customFormat="false" ht="14.25" hidden="false" customHeight="true" outlineLevel="0" collapsed="false">
      <c r="A375" s="1" t="s">
        <v>764</v>
      </c>
      <c r="C375" s="235"/>
    </row>
    <row r="376" customFormat="false" ht="14.25" hidden="false" customHeight="true" outlineLevel="0" collapsed="false">
      <c r="A376" s="1" t="s">
        <v>765</v>
      </c>
      <c r="C376" s="235"/>
    </row>
    <row r="377" customFormat="false" ht="14.25" hidden="false" customHeight="true" outlineLevel="0" collapsed="false">
      <c r="A377" s="1" t="s">
        <v>766</v>
      </c>
      <c r="C377" s="235" t="n">
        <v>35</v>
      </c>
    </row>
    <row r="378" customFormat="false" ht="14.25" hidden="false" customHeight="true" outlineLevel="0" collapsed="false"/>
    <row r="379" customFormat="false" ht="14.25" hidden="false" customHeight="true" outlineLevel="0" collapsed="false">
      <c r="A379" s="213" t="s">
        <v>767</v>
      </c>
      <c r="B379" s="216"/>
      <c r="C379" s="235" t="n">
        <v>20.72</v>
      </c>
    </row>
    <row r="380" customFormat="false" ht="14.25" hidden="false" customHeight="true" outlineLevel="0" collapsed="false">
      <c r="A380" s="171"/>
      <c r="B380" s="245"/>
      <c r="C380" s="186"/>
    </row>
    <row r="381" customFormat="false" ht="14.25" hidden="false" customHeight="true" outlineLevel="0" collapsed="false">
      <c r="A381" s="171"/>
      <c r="B381" s="245"/>
      <c r="C381" s="186"/>
    </row>
    <row r="382" customFormat="false" ht="14.25" hidden="false" customHeight="true" outlineLevel="0" collapsed="false">
      <c r="A382" s="171"/>
      <c r="B382" s="245"/>
      <c r="C382" s="186"/>
    </row>
    <row r="383" customFormat="false" ht="14.25" hidden="false" customHeight="true" outlineLevel="0" collapsed="false">
      <c r="A383" s="171"/>
      <c r="B383" s="245"/>
      <c r="C383" s="186"/>
    </row>
    <row r="384" customFormat="false" ht="14.25" hidden="false" customHeight="true" outlineLevel="0" collapsed="false">
      <c r="A384" s="171"/>
      <c r="B384" s="245"/>
      <c r="C384" s="186"/>
    </row>
    <row r="385" customFormat="false" ht="14.25" hidden="false" customHeight="true" outlineLevel="0" collapsed="false">
      <c r="A385" s="171"/>
      <c r="B385" s="245"/>
      <c r="C385" s="186"/>
    </row>
    <row r="386" customFormat="false" ht="14.25" hidden="false" customHeight="true" outlineLevel="0" collapsed="false">
      <c r="A386" s="171"/>
      <c r="B386" s="245"/>
      <c r="C386" s="186"/>
    </row>
    <row r="387" customFormat="false" ht="14.25" hidden="false" customHeight="true" outlineLevel="0" collapsed="false">
      <c r="A387" s="171"/>
      <c r="B387" s="245"/>
      <c r="C387" s="186"/>
    </row>
    <row r="388" customFormat="false" ht="14.25" hidden="false" customHeight="true" outlineLevel="0" collapsed="false">
      <c r="A388" s="171"/>
      <c r="B388" s="245"/>
      <c r="C388" s="186"/>
    </row>
    <row r="389" customFormat="false" ht="14.25" hidden="false" customHeight="true" outlineLevel="0" collapsed="false">
      <c r="A389" s="171"/>
      <c r="B389" s="245"/>
      <c r="C389" s="186"/>
    </row>
    <row r="390" customFormat="false" ht="14.25" hidden="false" customHeight="true" outlineLevel="0" collapsed="false">
      <c r="A390" s="171"/>
      <c r="B390" s="245"/>
      <c r="C390" s="186"/>
    </row>
    <row r="391" customFormat="false" ht="14.25" hidden="false" customHeight="true" outlineLevel="0" collapsed="false">
      <c r="A391" s="171"/>
      <c r="B391" s="245"/>
      <c r="C391" s="186"/>
    </row>
    <row r="392" customFormat="false" ht="14.25" hidden="false" customHeight="true" outlineLevel="0" collapsed="false">
      <c r="A392" s="171"/>
      <c r="B392" s="245"/>
      <c r="C392" s="186"/>
    </row>
    <row r="393" customFormat="false" ht="21" hidden="false" customHeight="true" outlineLevel="0" collapsed="false">
      <c r="A393" s="294" t="s">
        <v>768</v>
      </c>
      <c r="B393" s="295" t="s">
        <v>769</v>
      </c>
      <c r="C393" s="289"/>
      <c r="D393" s="289"/>
      <c r="E393" s="289"/>
      <c r="F393" s="289"/>
    </row>
    <row r="394" customFormat="false" ht="14.25" hidden="false" customHeight="true" outlineLevel="0" collapsed="false">
      <c r="A394" s="288" t="s">
        <v>770</v>
      </c>
      <c r="B394" s="289"/>
      <c r="C394" s="289"/>
      <c r="D394" s="289"/>
      <c r="E394" s="289"/>
      <c r="F394" s="289"/>
    </row>
    <row r="395" customFormat="false" ht="14.25" hidden="false" customHeight="true" outlineLevel="0" collapsed="false"/>
    <row r="396" customFormat="false" ht="14.25" hidden="false" customHeight="true" outlineLevel="0" collapsed="false">
      <c r="A396" s="296" t="s">
        <v>771</v>
      </c>
      <c r="B396" s="297" t="s">
        <v>772</v>
      </c>
      <c r="C396" s="297" t="s">
        <v>138</v>
      </c>
      <c r="D396" s="297" t="s">
        <v>27</v>
      </c>
      <c r="E396" s="297" t="s">
        <v>81</v>
      </c>
      <c r="F396" s="297"/>
    </row>
    <row r="397" customFormat="false" ht="14.25" hidden="false" customHeight="true" outlineLevel="0" collapsed="false">
      <c r="A397" s="298" t="s">
        <v>773</v>
      </c>
      <c r="B397" s="299"/>
      <c r="C397" s="299"/>
      <c r="D397" s="299"/>
      <c r="E397" s="299"/>
      <c r="F397" s="299"/>
    </row>
    <row r="398" customFormat="false" ht="14.25" hidden="false" customHeight="true" outlineLevel="0" collapsed="false">
      <c r="A398" s="213" t="s">
        <v>774</v>
      </c>
      <c r="B398" s="300" t="s">
        <v>775</v>
      </c>
      <c r="C398" s="235" t="n">
        <v>80</v>
      </c>
      <c r="D398" s="235" t="n">
        <v>118</v>
      </c>
      <c r="E398" s="235" t="n">
        <v>130</v>
      </c>
    </row>
    <row r="399" customFormat="false" ht="14.25" hidden="false" customHeight="true" outlineLevel="0" collapsed="false">
      <c r="A399" s="213" t="s">
        <v>776</v>
      </c>
      <c r="B399" s="300" t="s">
        <v>777</v>
      </c>
      <c r="C399" s="235" t="n">
        <v>80</v>
      </c>
      <c r="D399" s="235" t="n">
        <v>118</v>
      </c>
      <c r="E399" s="235" t="n">
        <v>130</v>
      </c>
    </row>
    <row r="400" customFormat="false" ht="14.25" hidden="false" customHeight="true" outlineLevel="0" collapsed="false">
      <c r="A400" s="213" t="s">
        <v>778</v>
      </c>
      <c r="B400" s="300" t="s">
        <v>779</v>
      </c>
      <c r="C400" s="235" t="n">
        <v>80</v>
      </c>
      <c r="D400" s="235" t="n">
        <v>118</v>
      </c>
      <c r="E400" s="235" t="n">
        <v>130</v>
      </c>
    </row>
    <row r="401" customFormat="false" ht="14.25" hidden="false" customHeight="true" outlineLevel="0" collapsed="false">
      <c r="A401" s="213" t="s">
        <v>780</v>
      </c>
      <c r="B401" s="300" t="s">
        <v>781</v>
      </c>
      <c r="C401" s="235" t="n">
        <v>80</v>
      </c>
      <c r="D401" s="235" t="n">
        <v>118</v>
      </c>
      <c r="E401" s="235" t="n">
        <v>130</v>
      </c>
    </row>
    <row r="402" customFormat="false" ht="14.25" hidden="false" customHeight="true" outlineLevel="0" collapsed="false">
      <c r="A402" s="298" t="s">
        <v>782</v>
      </c>
      <c r="B402" s="299"/>
      <c r="C402" s="299"/>
      <c r="D402" s="299"/>
      <c r="E402" s="299"/>
      <c r="F402" s="299"/>
    </row>
    <row r="403" customFormat="false" ht="14.25" hidden="false" customHeight="true" outlineLevel="0" collapsed="false">
      <c r="A403" s="213" t="s">
        <v>783</v>
      </c>
      <c r="B403" s="300" t="s">
        <v>784</v>
      </c>
      <c r="C403" s="235" t="n">
        <v>114</v>
      </c>
      <c r="D403" s="235" t="n">
        <v>168</v>
      </c>
      <c r="E403" s="235" t="n">
        <v>186</v>
      </c>
    </row>
    <row r="404" customFormat="false" ht="14.25" hidden="false" customHeight="true" outlineLevel="0" collapsed="false">
      <c r="A404" s="298" t="s">
        <v>785</v>
      </c>
      <c r="B404" s="299"/>
      <c r="C404" s="299"/>
      <c r="D404" s="299"/>
      <c r="E404" s="299"/>
      <c r="F404" s="299"/>
    </row>
    <row r="405" customFormat="false" ht="14.25" hidden="false" customHeight="true" outlineLevel="0" collapsed="false">
      <c r="A405" s="213" t="s">
        <v>786</v>
      </c>
      <c r="B405" s="300" t="s">
        <v>787</v>
      </c>
      <c r="C405" s="235" t="n">
        <v>128</v>
      </c>
      <c r="D405" s="235" t="n">
        <v>188</v>
      </c>
      <c r="E405" s="235" t="n">
        <v>208</v>
      </c>
    </row>
    <row r="406" customFormat="false" ht="14.25" hidden="false" customHeight="true" outlineLevel="0" collapsed="false">
      <c r="A406" s="213" t="s">
        <v>788</v>
      </c>
      <c r="B406" s="300" t="s">
        <v>789</v>
      </c>
      <c r="C406" s="235" t="n">
        <v>162</v>
      </c>
      <c r="D406" s="235" t="n">
        <v>234</v>
      </c>
      <c r="E406" s="235" t="n">
        <v>260</v>
      </c>
    </row>
    <row r="407" customFormat="false" ht="14.25" hidden="false" customHeight="true" outlineLevel="0" collapsed="false">
      <c r="A407" s="213" t="s">
        <v>790</v>
      </c>
      <c r="B407" s="300" t="s">
        <v>791</v>
      </c>
      <c r="C407" s="235" t="n">
        <v>132</v>
      </c>
      <c r="D407" s="235" t="n">
        <v>196</v>
      </c>
      <c r="E407" s="235" t="n">
        <v>216</v>
      </c>
    </row>
    <row r="408" customFormat="false" ht="14.25" hidden="false" customHeight="true" outlineLevel="0" collapsed="false">
      <c r="A408" s="213" t="s">
        <v>792</v>
      </c>
      <c r="B408" s="300" t="s">
        <v>793</v>
      </c>
      <c r="C408" s="235" t="n">
        <v>130</v>
      </c>
      <c r="D408" s="235" t="n">
        <v>194</v>
      </c>
      <c r="E408" s="235" t="n">
        <v>214</v>
      </c>
    </row>
    <row r="409" customFormat="false" ht="14.25" hidden="false" customHeight="true" outlineLevel="0" collapsed="false">
      <c r="A409" s="213" t="s">
        <v>794</v>
      </c>
      <c r="B409" s="300" t="s">
        <v>795</v>
      </c>
      <c r="C409" s="235" t="n">
        <v>140</v>
      </c>
      <c r="D409" s="235" t="n">
        <v>206</v>
      </c>
      <c r="E409" s="235" t="n">
        <v>228</v>
      </c>
    </row>
    <row r="410" customFormat="false" ht="14.25" hidden="false" customHeight="true" outlineLevel="0" collapsed="false"/>
    <row r="411" customFormat="false" ht="14.25" hidden="false" customHeight="true" outlineLevel="0" collapsed="false">
      <c r="A411" s="296" t="s">
        <v>796</v>
      </c>
      <c r="B411" s="297" t="s">
        <v>772</v>
      </c>
      <c r="C411" s="297" t="s">
        <v>138</v>
      </c>
      <c r="D411" s="297" t="s">
        <v>27</v>
      </c>
      <c r="E411" s="297" t="s">
        <v>81</v>
      </c>
      <c r="F411" s="297"/>
    </row>
    <row r="412" customFormat="false" ht="14.25" hidden="false" customHeight="true" outlineLevel="0" collapsed="false">
      <c r="A412" s="213" t="s">
        <v>797</v>
      </c>
      <c r="B412" s="300" t="s">
        <v>798</v>
      </c>
      <c r="C412" s="235" t="n">
        <v>360</v>
      </c>
      <c r="D412" s="235" t="n">
        <v>525</v>
      </c>
      <c r="E412" s="235" t="n">
        <v>580</v>
      </c>
    </row>
    <row r="413" customFormat="false" ht="14.25" hidden="false" customHeight="true" outlineLevel="0" collapsed="false">
      <c r="A413" s="213" t="s">
        <v>799</v>
      </c>
      <c r="B413" s="300" t="s">
        <v>800</v>
      </c>
      <c r="C413" s="235" t="n">
        <v>42</v>
      </c>
      <c r="D413" s="235" t="n">
        <v>60</v>
      </c>
      <c r="E413" s="235" t="n">
        <v>66</v>
      </c>
    </row>
    <row r="414" customFormat="false" ht="14.25" hidden="false" customHeight="true" outlineLevel="0" collapsed="false">
      <c r="A414" s="213" t="s">
        <v>801</v>
      </c>
      <c r="B414" s="300" t="s">
        <v>802</v>
      </c>
      <c r="C414" s="235" t="n">
        <v>11</v>
      </c>
      <c r="D414" s="235" t="n">
        <v>16</v>
      </c>
      <c r="E414" s="235" t="n">
        <v>17.5</v>
      </c>
    </row>
    <row r="415" customFormat="false" ht="14.25" hidden="false" customHeight="true" outlineLevel="0" collapsed="false">
      <c r="A415" s="213" t="s">
        <v>803</v>
      </c>
      <c r="B415" s="300" t="s">
        <v>804</v>
      </c>
      <c r="C415" s="235" t="n">
        <v>94</v>
      </c>
      <c r="D415" s="235" t="n">
        <v>140</v>
      </c>
      <c r="E415" s="235" t="n">
        <v>152</v>
      </c>
    </row>
    <row r="416" customFormat="false" ht="14.25" hidden="false" customHeight="true" outlineLevel="0" collapsed="false">
      <c r="A416" s="213" t="s">
        <v>805</v>
      </c>
      <c r="B416" s="300" t="s">
        <v>806</v>
      </c>
      <c r="C416" s="235" t="n">
        <v>17.5</v>
      </c>
      <c r="D416" s="235" t="n">
        <v>26</v>
      </c>
      <c r="E416" s="235" t="n">
        <v>30</v>
      </c>
    </row>
    <row r="417" customFormat="false" ht="14.25" hidden="false" customHeight="true" outlineLevel="0" collapsed="false"/>
    <row r="418" customFormat="false" ht="14.25" hidden="false" customHeight="true" outlineLevel="0" collapsed="false">
      <c r="A418" s="296" t="s">
        <v>807</v>
      </c>
      <c r="B418" s="297" t="s">
        <v>772</v>
      </c>
      <c r="C418" s="297" t="s">
        <v>138</v>
      </c>
      <c r="D418" s="297" t="s">
        <v>27</v>
      </c>
      <c r="E418" s="297" t="s">
        <v>81</v>
      </c>
      <c r="F418" s="297"/>
    </row>
    <row r="419" customFormat="false" ht="14.25" hidden="false" customHeight="true" outlineLevel="0" collapsed="false">
      <c r="A419" s="213" t="s">
        <v>808</v>
      </c>
      <c r="B419" s="300" t="s">
        <v>809</v>
      </c>
      <c r="C419" s="235" t="n">
        <v>28.5</v>
      </c>
      <c r="D419" s="235" t="n">
        <v>42</v>
      </c>
      <c r="E419" s="235" t="n">
        <v>46.5</v>
      </c>
    </row>
    <row r="420" customFormat="false" ht="14.25" hidden="false" customHeight="true" outlineLevel="0" collapsed="false">
      <c r="A420" s="213" t="s">
        <v>810</v>
      </c>
      <c r="B420" s="300" t="s">
        <v>811</v>
      </c>
      <c r="C420" s="235" t="n">
        <v>28.5</v>
      </c>
      <c r="D420" s="235" t="n">
        <v>42</v>
      </c>
      <c r="E420" s="235" t="n">
        <v>46.5</v>
      </c>
    </row>
    <row r="421" customFormat="false" ht="14.25" hidden="false" customHeight="true" outlineLevel="0" collapsed="false">
      <c r="A421" s="213" t="s">
        <v>812</v>
      </c>
      <c r="B421" s="300" t="s">
        <v>813</v>
      </c>
      <c r="C421" s="235" t="n">
        <v>28.5</v>
      </c>
      <c r="D421" s="235" t="n">
        <v>42</v>
      </c>
      <c r="E421" s="235" t="n">
        <v>46.5</v>
      </c>
    </row>
    <row r="422" customFormat="false" ht="14.25" hidden="false" customHeight="true" outlineLevel="0" collapsed="false">
      <c r="A422" s="213" t="s">
        <v>814</v>
      </c>
      <c r="B422" s="300" t="s">
        <v>815</v>
      </c>
      <c r="C422" s="235" t="n">
        <v>28.5</v>
      </c>
      <c r="D422" s="235" t="n">
        <v>42</v>
      </c>
      <c r="E422" s="235" t="n">
        <v>46.5</v>
      </c>
    </row>
    <row r="423" customFormat="false" ht="14.25" hidden="false" customHeight="true" outlineLevel="0" collapsed="false">
      <c r="A423" s="213" t="s">
        <v>816</v>
      </c>
      <c r="B423" s="300" t="s">
        <v>817</v>
      </c>
      <c r="C423" s="235" t="n">
        <v>28.5</v>
      </c>
      <c r="D423" s="235" t="n">
        <v>42</v>
      </c>
      <c r="E423" s="235" t="n">
        <v>46.5</v>
      </c>
    </row>
    <row r="424" customFormat="false" ht="14.25" hidden="false" customHeight="true" outlineLevel="0" collapsed="false">
      <c r="A424" s="213" t="s">
        <v>818</v>
      </c>
      <c r="B424" s="300" t="s">
        <v>819</v>
      </c>
      <c r="C424" s="235" t="n">
        <v>28.5</v>
      </c>
      <c r="D424" s="235" t="n">
        <v>42</v>
      </c>
      <c r="E424" s="235" t="n">
        <v>46.5</v>
      </c>
    </row>
    <row r="425" customFormat="false" ht="14.25" hidden="false" customHeight="true" outlineLevel="0" collapsed="false">
      <c r="A425" s="213" t="s">
        <v>820</v>
      </c>
      <c r="B425" s="300" t="s">
        <v>821</v>
      </c>
      <c r="C425" s="235" t="n">
        <v>28.5</v>
      </c>
      <c r="D425" s="235" t="n">
        <v>42</v>
      </c>
      <c r="E425" s="235" t="n">
        <v>46.5</v>
      </c>
    </row>
    <row r="426" customFormat="false" ht="14.25" hidden="false" customHeight="true" outlineLevel="0" collapsed="false">
      <c r="A426" s="213" t="s">
        <v>822</v>
      </c>
      <c r="B426" s="300" t="s">
        <v>823</v>
      </c>
      <c r="C426" s="235" t="n">
        <v>28.5</v>
      </c>
      <c r="D426" s="235" t="n">
        <v>42</v>
      </c>
      <c r="E426" s="235" t="n">
        <v>46.5</v>
      </c>
    </row>
    <row r="427" customFormat="false" ht="14.25" hidden="false" customHeight="true" outlineLevel="0" collapsed="false">
      <c r="A427" s="213" t="s">
        <v>824</v>
      </c>
      <c r="B427" s="300" t="s">
        <v>825</v>
      </c>
      <c r="C427" s="235" t="n">
        <v>28.5</v>
      </c>
      <c r="D427" s="235" t="n">
        <v>42</v>
      </c>
      <c r="E427" s="235" t="n">
        <v>46.5</v>
      </c>
    </row>
    <row r="428" customFormat="false" ht="14.25" hidden="false" customHeight="true" outlineLevel="0" collapsed="false">
      <c r="A428" s="213" t="s">
        <v>826</v>
      </c>
      <c r="B428" s="300" t="s">
        <v>827</v>
      </c>
      <c r="C428" s="235" t="n">
        <v>28.5</v>
      </c>
      <c r="D428" s="235" t="n">
        <v>42</v>
      </c>
      <c r="E428" s="235" t="n">
        <v>46.5</v>
      </c>
    </row>
    <row r="429" customFormat="false" ht="14.25" hidden="false" customHeight="true" outlineLevel="0" collapsed="false">
      <c r="A429" s="213" t="s">
        <v>828</v>
      </c>
      <c r="B429" s="300" t="s">
        <v>829</v>
      </c>
      <c r="C429" s="235" t="n">
        <v>28.5</v>
      </c>
      <c r="D429" s="235" t="n">
        <v>42</v>
      </c>
      <c r="E429" s="235" t="n">
        <v>46.5</v>
      </c>
    </row>
    <row r="430" customFormat="false" ht="14.25" hidden="false" customHeight="true" outlineLevel="0" collapsed="false">
      <c r="A430" s="213" t="s">
        <v>830</v>
      </c>
      <c r="B430" s="300" t="s">
        <v>831</v>
      </c>
      <c r="C430" s="235" t="n">
        <v>28.5</v>
      </c>
      <c r="D430" s="235" t="n">
        <v>42</v>
      </c>
      <c r="E430" s="235" t="n">
        <v>46.5</v>
      </c>
    </row>
    <row r="431" customFormat="false" ht="14.25" hidden="false" customHeight="true" outlineLevel="0" collapsed="false">
      <c r="A431" s="213" t="s">
        <v>832</v>
      </c>
      <c r="B431" s="300" t="s">
        <v>833</v>
      </c>
      <c r="C431" s="235" t="n">
        <v>28.5</v>
      </c>
      <c r="D431" s="235" t="n">
        <v>42</v>
      </c>
      <c r="E431" s="235" t="n">
        <v>46.5</v>
      </c>
    </row>
    <row r="432" customFormat="false" ht="14.25" hidden="false" customHeight="true" outlineLevel="0" collapsed="false">
      <c r="A432" s="213" t="s">
        <v>834</v>
      </c>
      <c r="B432" s="300" t="s">
        <v>835</v>
      </c>
      <c r="C432" s="235" t="n">
        <v>28.5</v>
      </c>
      <c r="D432" s="235" t="n">
        <v>42</v>
      </c>
      <c r="E432" s="235" t="n">
        <v>46.5</v>
      </c>
    </row>
    <row r="433" customFormat="false" ht="14.25" hidden="false" customHeight="true" outlineLevel="0" collapsed="false">
      <c r="A433" s="213" t="s">
        <v>836</v>
      </c>
      <c r="B433" s="300" t="s">
        <v>837</v>
      </c>
      <c r="C433" s="235" t="n">
        <v>28.5</v>
      </c>
      <c r="D433" s="235" t="n">
        <v>42</v>
      </c>
      <c r="E433" s="235" t="n">
        <v>46.5</v>
      </c>
    </row>
    <row r="434" customFormat="false" ht="14.25" hidden="false" customHeight="true" outlineLevel="0" collapsed="false">
      <c r="A434" s="213" t="s">
        <v>838</v>
      </c>
      <c r="B434" s="300" t="s">
        <v>839</v>
      </c>
      <c r="C434" s="235" t="n">
        <v>28.5</v>
      </c>
      <c r="D434" s="235" t="n">
        <v>42</v>
      </c>
      <c r="E434" s="235" t="n">
        <v>46.5</v>
      </c>
    </row>
    <row r="435" customFormat="false" ht="14.25" hidden="false" customHeight="true" outlineLevel="0" collapsed="false">
      <c r="A435" s="213" t="s">
        <v>840</v>
      </c>
      <c r="B435" s="300" t="s">
        <v>841</v>
      </c>
      <c r="C435" s="235" t="n">
        <v>28.5</v>
      </c>
      <c r="D435" s="235" t="n">
        <v>42</v>
      </c>
      <c r="E435" s="235" t="n">
        <v>46.5</v>
      </c>
    </row>
    <row r="436" customFormat="false" ht="14.25" hidden="false" customHeight="true" outlineLevel="0" collapsed="false">
      <c r="A436" s="213" t="s">
        <v>842</v>
      </c>
      <c r="B436" s="300" t="s">
        <v>843</v>
      </c>
      <c r="C436" s="235" t="n">
        <v>28.5</v>
      </c>
      <c r="D436" s="235" t="n">
        <v>42</v>
      </c>
      <c r="E436" s="235" t="n">
        <v>46.5</v>
      </c>
    </row>
    <row r="437" customFormat="false" ht="14.25" hidden="false" customHeight="true" outlineLevel="0" collapsed="false">
      <c r="A437" s="213" t="s">
        <v>844</v>
      </c>
      <c r="B437" s="300" t="s">
        <v>845</v>
      </c>
      <c r="C437" s="235" t="n">
        <v>28.5</v>
      </c>
      <c r="D437" s="235" t="n">
        <v>42</v>
      </c>
      <c r="E437" s="235" t="n">
        <v>46.5</v>
      </c>
    </row>
    <row r="438" customFormat="false" ht="14.25" hidden="false" customHeight="true" outlineLevel="0" collapsed="false">
      <c r="A438" s="213" t="s">
        <v>846</v>
      </c>
      <c r="B438" s="300" t="s">
        <v>847</v>
      </c>
      <c r="C438" s="235" t="n">
        <v>28.5</v>
      </c>
      <c r="D438" s="235" t="n">
        <v>42</v>
      </c>
      <c r="E438" s="235" t="n">
        <v>46.5</v>
      </c>
    </row>
    <row r="439" customFormat="false" ht="14.25" hidden="false" customHeight="true" outlineLevel="0" collapsed="false">
      <c r="A439" s="213" t="s">
        <v>848</v>
      </c>
      <c r="B439" s="300" t="s">
        <v>849</v>
      </c>
      <c r="C439" s="235" t="n">
        <v>28.5</v>
      </c>
      <c r="D439" s="235" t="n">
        <v>42</v>
      </c>
      <c r="E439" s="235" t="n">
        <v>46.5</v>
      </c>
    </row>
    <row r="440" customFormat="false" ht="14.25" hidden="false" customHeight="true" outlineLevel="0" collapsed="false">
      <c r="A440" s="213" t="s">
        <v>850</v>
      </c>
      <c r="B440" s="300" t="s">
        <v>851</v>
      </c>
      <c r="C440" s="235" t="n">
        <v>28.5</v>
      </c>
      <c r="D440" s="235" t="n">
        <v>42</v>
      </c>
      <c r="E440" s="235" t="n">
        <v>46.5</v>
      </c>
    </row>
    <row r="441" customFormat="false" ht="14.25" hidden="false" customHeight="true" outlineLevel="0" collapsed="false">
      <c r="A441" s="213" t="s">
        <v>852</v>
      </c>
      <c r="B441" s="300" t="s">
        <v>853</v>
      </c>
      <c r="C441" s="235" t="n">
        <v>28.5</v>
      </c>
      <c r="D441" s="235" t="n">
        <v>42</v>
      </c>
      <c r="E441" s="235" t="n">
        <v>46.5</v>
      </c>
    </row>
    <row r="442" customFormat="false" ht="14.25" hidden="false" customHeight="true" outlineLevel="0" collapsed="false">
      <c r="A442" s="213" t="s">
        <v>854</v>
      </c>
      <c r="B442" s="300" t="s">
        <v>855</v>
      </c>
      <c r="C442" s="235" t="n">
        <v>28.5</v>
      </c>
      <c r="D442" s="235" t="n">
        <v>42</v>
      </c>
      <c r="E442" s="235" t="n">
        <v>46.5</v>
      </c>
    </row>
    <row r="443" customFormat="false" ht="14.25" hidden="false" customHeight="true" outlineLevel="0" collapsed="false">
      <c r="A443" s="213" t="s">
        <v>856</v>
      </c>
      <c r="B443" s="300" t="s">
        <v>857</v>
      </c>
      <c r="C443" s="235" t="n">
        <v>28.5</v>
      </c>
      <c r="D443" s="235" t="n">
        <v>42</v>
      </c>
      <c r="E443" s="235" t="n">
        <v>46.5</v>
      </c>
    </row>
    <row r="444" customFormat="false" ht="14.25" hidden="false" customHeight="true" outlineLevel="0" collapsed="false">
      <c r="A444" s="213" t="s">
        <v>858</v>
      </c>
      <c r="B444" s="300" t="s">
        <v>859</v>
      </c>
      <c r="C444" s="235" t="n">
        <v>32</v>
      </c>
      <c r="D444" s="235" t="n">
        <v>48</v>
      </c>
      <c r="E444" s="235" t="n">
        <v>52.5</v>
      </c>
    </row>
    <row r="445" customFormat="false" ht="14.25" hidden="false" customHeight="true" outlineLevel="0" collapsed="false">
      <c r="A445" s="213" t="s">
        <v>860</v>
      </c>
      <c r="B445" s="300" t="s">
        <v>861</v>
      </c>
      <c r="C445" s="235" t="n">
        <v>28.5</v>
      </c>
      <c r="D445" s="235" t="n">
        <v>42</v>
      </c>
      <c r="E445" s="235" t="n">
        <v>46.5</v>
      </c>
    </row>
    <row r="446" customFormat="false" ht="14.25" hidden="false" customHeight="true" outlineLevel="0" collapsed="false">
      <c r="A446" s="213" t="s">
        <v>862</v>
      </c>
      <c r="B446" s="300" t="s">
        <v>863</v>
      </c>
      <c r="C446" s="235" t="n">
        <v>28.5</v>
      </c>
      <c r="D446" s="235" t="n">
        <v>42</v>
      </c>
      <c r="E446" s="235" t="n">
        <v>46.5</v>
      </c>
    </row>
    <row r="447" customFormat="false" ht="14.25" hidden="false" customHeight="true" outlineLevel="0" collapsed="false">
      <c r="A447" s="213" t="s">
        <v>864</v>
      </c>
      <c r="B447" s="300" t="s">
        <v>865</v>
      </c>
      <c r="C447" s="235" t="n">
        <v>28.5</v>
      </c>
      <c r="D447" s="235" t="n">
        <v>42</v>
      </c>
      <c r="E447" s="235" t="n">
        <v>46.5</v>
      </c>
    </row>
    <row r="448" customFormat="false" ht="14.25" hidden="false" customHeight="true" outlineLevel="0" collapsed="false">
      <c r="A448" s="213" t="s">
        <v>866</v>
      </c>
      <c r="B448" s="300" t="s">
        <v>867</v>
      </c>
      <c r="C448" s="235" t="n">
        <v>28.5</v>
      </c>
      <c r="D448" s="235" t="n">
        <v>42</v>
      </c>
      <c r="E448" s="235" t="n">
        <v>46.5</v>
      </c>
    </row>
    <row r="449" customFormat="false" ht="14.25" hidden="false" customHeight="true" outlineLevel="0" collapsed="false">
      <c r="A449" s="213" t="s">
        <v>868</v>
      </c>
      <c r="B449" s="300" t="s">
        <v>869</v>
      </c>
      <c r="C449" s="235" t="n">
        <v>28.5</v>
      </c>
      <c r="D449" s="235" t="n">
        <v>42</v>
      </c>
      <c r="E449" s="235" t="n">
        <v>46.5</v>
      </c>
    </row>
    <row r="450" customFormat="false" ht="14.25" hidden="false" customHeight="true" outlineLevel="0" collapsed="false">
      <c r="A450" s="213" t="s">
        <v>870</v>
      </c>
      <c r="B450" s="300" t="s">
        <v>871</v>
      </c>
      <c r="C450" s="235" t="n">
        <v>28.5</v>
      </c>
      <c r="D450" s="235" t="n">
        <v>42</v>
      </c>
      <c r="E450" s="235" t="n">
        <v>46.5</v>
      </c>
    </row>
    <row r="451" customFormat="false" ht="14.25" hidden="false" customHeight="true" outlineLevel="0" collapsed="false"/>
    <row r="452" customFormat="false" ht="14.25" hidden="false" customHeight="true" outlineLevel="0" collapsed="false">
      <c r="A452" s="296" t="s">
        <v>872</v>
      </c>
      <c r="B452" s="297" t="s">
        <v>772</v>
      </c>
      <c r="C452" s="297" t="s">
        <v>138</v>
      </c>
      <c r="D452" s="297" t="s">
        <v>27</v>
      </c>
      <c r="E452" s="297" t="s">
        <v>81</v>
      </c>
      <c r="F452" s="297"/>
    </row>
    <row r="453" customFormat="false" ht="14.25" hidden="false" customHeight="true" outlineLevel="0" collapsed="false">
      <c r="A453" s="213" t="s">
        <v>873</v>
      </c>
      <c r="B453" s="300" t="s">
        <v>874</v>
      </c>
      <c r="C453" s="235" t="n">
        <v>44</v>
      </c>
      <c r="D453" s="235" t="n">
        <v>64</v>
      </c>
      <c r="E453" s="235" t="n">
        <v>70</v>
      </c>
    </row>
    <row r="454" customFormat="false" ht="14.25" hidden="false" customHeight="true" outlineLevel="0" collapsed="false">
      <c r="A454" s="213" t="s">
        <v>875</v>
      </c>
      <c r="B454" s="300" t="s">
        <v>876</v>
      </c>
      <c r="C454" s="235" t="n">
        <v>40</v>
      </c>
      <c r="D454" s="235" t="n">
        <v>58</v>
      </c>
      <c r="E454" s="235" t="n">
        <v>64</v>
      </c>
    </row>
    <row r="455" customFormat="false" ht="14.25" hidden="false" customHeight="true" outlineLevel="0" collapsed="false">
      <c r="A455" s="213" t="s">
        <v>877</v>
      </c>
      <c r="B455" s="300" t="s">
        <v>878</v>
      </c>
      <c r="C455" s="235" t="n">
        <v>82</v>
      </c>
      <c r="D455" s="235" t="n">
        <v>120</v>
      </c>
      <c r="E455" s="235" t="n">
        <v>132</v>
      </c>
    </row>
    <row r="456" customFormat="false" ht="14.25" hidden="false" customHeight="true" outlineLevel="0" collapsed="false">
      <c r="A456" s="213" t="s">
        <v>879</v>
      </c>
      <c r="B456" s="300" t="s">
        <v>880</v>
      </c>
      <c r="C456" s="235" t="n">
        <v>116.6</v>
      </c>
      <c r="D456" s="235" t="n">
        <v>166</v>
      </c>
      <c r="E456" s="235" t="n">
        <v>184</v>
      </c>
    </row>
    <row r="457" customFormat="false" ht="14.25" hidden="false" customHeight="true" outlineLevel="0" collapsed="false"/>
    <row r="458" customFormat="false" ht="14.25" hidden="false" customHeight="true" outlineLevel="0" collapsed="false">
      <c r="A458" s="296" t="s">
        <v>881</v>
      </c>
      <c r="B458" s="297" t="s">
        <v>772</v>
      </c>
      <c r="C458" s="297" t="s">
        <v>138</v>
      </c>
      <c r="D458" s="297" t="s">
        <v>27</v>
      </c>
      <c r="E458" s="297" t="s">
        <v>81</v>
      </c>
      <c r="F458" s="297"/>
    </row>
    <row r="459" customFormat="false" ht="14.25" hidden="false" customHeight="true" outlineLevel="0" collapsed="false">
      <c r="A459" s="213" t="s">
        <v>882</v>
      </c>
      <c r="B459" s="300" t="s">
        <v>883</v>
      </c>
      <c r="C459" s="235" t="n">
        <v>72</v>
      </c>
      <c r="D459" s="235" t="n">
        <v>106</v>
      </c>
      <c r="E459" s="235" t="n">
        <v>116</v>
      </c>
    </row>
    <row r="460" customFormat="false" ht="14.25" hidden="false" customHeight="true" outlineLevel="0" collapsed="false">
      <c r="A460" s="213" t="s">
        <v>884</v>
      </c>
      <c r="B460" s="300" t="s">
        <v>885</v>
      </c>
      <c r="C460" s="235" t="n">
        <v>72</v>
      </c>
      <c r="D460" s="235" t="n">
        <v>106</v>
      </c>
      <c r="E460" s="235" t="n">
        <v>116</v>
      </c>
    </row>
    <row r="461" customFormat="false" ht="14.25" hidden="false" customHeight="true" outlineLevel="0" collapsed="false">
      <c r="A461" s="213" t="s">
        <v>886</v>
      </c>
      <c r="B461" s="300" t="s">
        <v>887</v>
      </c>
      <c r="C461" s="235" t="n">
        <v>248</v>
      </c>
      <c r="D461" s="235" t="n">
        <v>368</v>
      </c>
      <c r="E461" s="235" t="n">
        <v>400</v>
      </c>
    </row>
    <row r="462" customFormat="false" ht="14.25" hidden="false" customHeight="true" outlineLevel="0" collapsed="false"/>
    <row r="463" customFormat="false" ht="14.25" hidden="false" customHeight="true" outlineLevel="0" collapsed="false">
      <c r="A463" s="296" t="s">
        <v>888</v>
      </c>
      <c r="B463" s="297" t="s">
        <v>772</v>
      </c>
      <c r="C463" s="297" t="s">
        <v>138</v>
      </c>
      <c r="D463" s="297" t="s">
        <v>27</v>
      </c>
      <c r="E463" s="297" t="s">
        <v>81</v>
      </c>
      <c r="F463" s="297"/>
    </row>
    <row r="464" customFormat="false" ht="14.25" hidden="false" customHeight="true" outlineLevel="0" collapsed="false">
      <c r="A464" s="213" t="s">
        <v>889</v>
      </c>
      <c r="B464" s="300" t="s">
        <v>890</v>
      </c>
      <c r="C464" s="235" t="n">
        <v>19</v>
      </c>
      <c r="D464" s="235" t="n">
        <v>28</v>
      </c>
      <c r="E464" s="235" t="n">
        <v>32</v>
      </c>
    </row>
    <row r="465" customFormat="false" ht="14.25" hidden="false" customHeight="true" outlineLevel="0" collapsed="false">
      <c r="A465" s="213" t="s">
        <v>891</v>
      </c>
      <c r="B465" s="300" t="s">
        <v>892</v>
      </c>
      <c r="C465" s="235" t="n">
        <v>7.25</v>
      </c>
      <c r="D465" s="235" t="n">
        <v>10.5</v>
      </c>
      <c r="E465" s="235" t="n">
        <v>11.5</v>
      </c>
    </row>
    <row r="466" customFormat="false" ht="14.25" hidden="false" customHeight="true" outlineLevel="0" collapsed="false">
      <c r="A466" s="213" t="s">
        <v>893</v>
      </c>
      <c r="B466" s="300" t="s">
        <v>894</v>
      </c>
      <c r="C466" s="235" t="n">
        <v>7.25</v>
      </c>
      <c r="D466" s="235" t="n">
        <v>10.5</v>
      </c>
      <c r="E466" s="235" t="n">
        <v>11.5</v>
      </c>
    </row>
    <row r="467" customFormat="false" ht="14.25" hidden="false" customHeight="true" outlineLevel="0" collapsed="false">
      <c r="A467" s="213" t="s">
        <v>895</v>
      </c>
      <c r="B467" s="300" t="s">
        <v>896</v>
      </c>
      <c r="C467" s="235" t="n">
        <v>7.25</v>
      </c>
      <c r="D467" s="235" t="n">
        <v>10.5</v>
      </c>
      <c r="E467" s="235" t="n">
        <v>11.5</v>
      </c>
    </row>
    <row r="468" customFormat="false" ht="14.25" hidden="false" customHeight="true" outlineLevel="0" collapsed="false">
      <c r="A468" s="213" t="s">
        <v>897</v>
      </c>
      <c r="B468" s="300" t="s">
        <v>898</v>
      </c>
      <c r="C468" s="235" t="n">
        <v>7.25</v>
      </c>
      <c r="D468" s="235" t="n">
        <v>10.5</v>
      </c>
      <c r="E468" s="235" t="n">
        <v>11.5</v>
      </c>
    </row>
    <row r="469" customFormat="false" ht="14.25" hidden="false" customHeight="true" outlineLevel="0" collapsed="false">
      <c r="A469" s="213" t="s">
        <v>899</v>
      </c>
      <c r="B469" s="300" t="s">
        <v>900</v>
      </c>
      <c r="C469" s="235" t="n">
        <v>7.25</v>
      </c>
      <c r="D469" s="235" t="n">
        <v>10.5</v>
      </c>
      <c r="E469" s="235" t="n">
        <v>11.5</v>
      </c>
    </row>
    <row r="470" customFormat="false" ht="14.25" hidden="false" customHeight="true" outlineLevel="0" collapsed="false">
      <c r="A470" s="213" t="s">
        <v>901</v>
      </c>
      <c r="B470" s="300" t="s">
        <v>902</v>
      </c>
      <c r="C470" s="235" t="n">
        <v>14.5</v>
      </c>
      <c r="D470" s="235" t="n">
        <v>22</v>
      </c>
      <c r="E470" s="235" t="n">
        <v>24</v>
      </c>
    </row>
    <row r="471" customFormat="false" ht="14.25" hidden="false" customHeight="true" outlineLevel="0" collapsed="false">
      <c r="A471" s="213" t="s">
        <v>903</v>
      </c>
      <c r="B471" s="300" t="s">
        <v>904</v>
      </c>
      <c r="C471" s="235" t="n">
        <v>7.25</v>
      </c>
      <c r="D471" s="235" t="n">
        <v>10.5</v>
      </c>
      <c r="E471" s="235" t="n">
        <v>11.5</v>
      </c>
    </row>
    <row r="472" customFormat="false" ht="14.25" hidden="false" customHeight="true" outlineLevel="0" collapsed="false">
      <c r="A472" s="213" t="s">
        <v>905</v>
      </c>
      <c r="B472" s="300" t="s">
        <v>906</v>
      </c>
      <c r="C472" s="235" t="n">
        <v>5.75</v>
      </c>
      <c r="D472" s="235" t="n">
        <v>8.5</v>
      </c>
      <c r="E472" s="235" t="n">
        <v>9.5</v>
      </c>
    </row>
    <row r="473" customFormat="false" ht="14.25" hidden="false" customHeight="true" outlineLevel="0" collapsed="false">
      <c r="A473" s="213" t="s">
        <v>907</v>
      </c>
      <c r="B473" s="300" t="s">
        <v>908</v>
      </c>
      <c r="C473" s="235" t="n">
        <v>15.25</v>
      </c>
      <c r="D473" s="235" t="n">
        <v>22.5</v>
      </c>
      <c r="E473" s="235" t="n">
        <v>25</v>
      </c>
    </row>
    <row r="474" customFormat="false" ht="14.25" hidden="false" customHeight="true" outlineLevel="0" collapsed="false">
      <c r="A474" s="213" t="s">
        <v>909</v>
      </c>
      <c r="B474" s="300" t="s">
        <v>910</v>
      </c>
      <c r="C474" s="235" t="n">
        <v>15.25</v>
      </c>
      <c r="D474" s="235" t="n">
        <v>22.5</v>
      </c>
      <c r="E474" s="235" t="n">
        <v>25</v>
      </c>
    </row>
    <row r="475" customFormat="false" ht="14.25" hidden="false" customHeight="true" outlineLevel="0" collapsed="false">
      <c r="A475" s="213" t="s">
        <v>911</v>
      </c>
      <c r="B475" s="300" t="s">
        <v>912</v>
      </c>
      <c r="C475" s="235" t="n">
        <v>15.25</v>
      </c>
      <c r="D475" s="235" t="n">
        <v>22.5</v>
      </c>
      <c r="E475" s="235" t="n">
        <v>25</v>
      </c>
    </row>
    <row r="476" customFormat="false" ht="14.25" hidden="false" customHeight="true" outlineLevel="0" collapsed="false">
      <c r="A476" s="213" t="s">
        <v>913</v>
      </c>
      <c r="B476" s="300" t="s">
        <v>914</v>
      </c>
      <c r="C476" s="235" t="n">
        <v>8.25</v>
      </c>
      <c r="D476" s="235" t="n">
        <v>12</v>
      </c>
      <c r="E476" s="235" t="n">
        <v>13</v>
      </c>
    </row>
    <row r="477" customFormat="false" ht="14.25" hidden="false" customHeight="true" outlineLevel="0" collapsed="false">
      <c r="A477" s="213" t="s">
        <v>915</v>
      </c>
      <c r="B477" s="300" t="s">
        <v>916</v>
      </c>
      <c r="C477" s="235" t="n">
        <v>8.25</v>
      </c>
      <c r="D477" s="235" t="n">
        <v>12</v>
      </c>
      <c r="E477" s="235" t="n">
        <v>13</v>
      </c>
    </row>
    <row r="478" customFormat="false" ht="14.25" hidden="false" customHeight="true" outlineLevel="0" collapsed="false"/>
    <row r="479" customFormat="false" ht="14.25" hidden="false" customHeight="true" outlineLevel="0" collapsed="false">
      <c r="A479" s="296" t="s">
        <v>917</v>
      </c>
      <c r="B479" s="297" t="s">
        <v>772</v>
      </c>
      <c r="C479" s="297" t="s">
        <v>138</v>
      </c>
      <c r="D479" s="297" t="s">
        <v>27</v>
      </c>
      <c r="E479" s="297" t="s">
        <v>81</v>
      </c>
      <c r="F479" s="297"/>
    </row>
    <row r="480" customFormat="false" ht="14.25" hidden="false" customHeight="true" outlineLevel="0" collapsed="false">
      <c r="A480" s="213" t="s">
        <v>918</v>
      </c>
      <c r="B480" s="300" t="s">
        <v>919</v>
      </c>
      <c r="C480" s="235" t="n">
        <v>200</v>
      </c>
      <c r="D480" s="235" t="n">
        <v>296</v>
      </c>
      <c r="E480" s="235" t="n">
        <v>324</v>
      </c>
    </row>
    <row r="481" customFormat="false" ht="14.25" hidden="false" customHeight="true" outlineLevel="0" collapsed="false">
      <c r="A481" s="213" t="s">
        <v>920</v>
      </c>
      <c r="B481" s="300" t="s">
        <v>921</v>
      </c>
      <c r="C481" s="235" t="n">
        <v>203.5</v>
      </c>
      <c r="D481" s="235" t="n">
        <v>300</v>
      </c>
      <c r="E481" s="235" t="n">
        <v>328</v>
      </c>
    </row>
    <row r="482" customFormat="false" ht="14.25" hidden="false" customHeight="true" outlineLevel="0" collapsed="false">
      <c r="A482" s="213" t="s">
        <v>922</v>
      </c>
      <c r="B482" s="300" t="s">
        <v>923</v>
      </c>
      <c r="C482" s="235" t="n">
        <v>290</v>
      </c>
      <c r="D482" s="235" t="n">
        <v>428</v>
      </c>
      <c r="E482" s="235" t="n">
        <v>466</v>
      </c>
    </row>
    <row r="483" customFormat="false" ht="14.25" hidden="false" customHeight="true" outlineLevel="0" collapsed="false">
      <c r="A483" s="213" t="s">
        <v>924</v>
      </c>
      <c r="B483" s="300" t="s">
        <v>925</v>
      </c>
      <c r="C483" s="235" t="n">
        <v>310</v>
      </c>
      <c r="D483" s="235" t="n">
        <v>456</v>
      </c>
      <c r="E483" s="235" t="n">
        <v>500</v>
      </c>
    </row>
    <row r="484" customFormat="false" ht="14.25" hidden="false" customHeight="true" outlineLevel="0" collapsed="false">
      <c r="A484" s="213" t="s">
        <v>926</v>
      </c>
      <c r="B484" s="300" t="s">
        <v>927</v>
      </c>
      <c r="C484" s="235" t="n">
        <v>295</v>
      </c>
      <c r="D484" s="235" t="n">
        <v>438</v>
      </c>
      <c r="E484" s="235" t="n">
        <v>486</v>
      </c>
    </row>
    <row r="485" customFormat="false" ht="14.25" hidden="false" customHeight="true" outlineLevel="0" collapsed="false">
      <c r="A485" s="213" t="s">
        <v>928</v>
      </c>
      <c r="B485" s="300" t="s">
        <v>929</v>
      </c>
      <c r="C485" s="235" t="n">
        <v>131</v>
      </c>
      <c r="D485" s="235" t="n">
        <v>190</v>
      </c>
      <c r="E485" s="235" t="n">
        <v>210</v>
      </c>
    </row>
    <row r="486" customFormat="false" ht="14.25" hidden="false" customHeight="true" outlineLevel="0" collapsed="false">
      <c r="A486" s="213" t="s">
        <v>930</v>
      </c>
      <c r="B486" s="300" t="s">
        <v>931</v>
      </c>
      <c r="C486" s="235" t="n">
        <v>131</v>
      </c>
      <c r="D486" s="235" t="n">
        <v>190</v>
      </c>
      <c r="E486" s="235" t="n">
        <v>210</v>
      </c>
    </row>
    <row r="487" customFormat="false" ht="14.25" hidden="false" customHeight="true" outlineLevel="0" collapsed="false">
      <c r="A487" s="213" t="s">
        <v>932</v>
      </c>
      <c r="B487" s="300" t="s">
        <v>933</v>
      </c>
      <c r="C487" s="235" t="n">
        <v>512</v>
      </c>
      <c r="D487" s="235" t="n">
        <v>740</v>
      </c>
      <c r="E487" s="235" t="n">
        <v>820</v>
      </c>
    </row>
    <row r="488" customFormat="false" ht="14.25" hidden="false" customHeight="true" outlineLevel="0" collapsed="false">
      <c r="A488" s="213" t="s">
        <v>934</v>
      </c>
      <c r="B488" s="300" t="s">
        <v>935</v>
      </c>
      <c r="C488" s="235" t="n">
        <v>1050</v>
      </c>
      <c r="D488" s="235" t="n">
        <v>1540</v>
      </c>
      <c r="E488" s="235" t="n">
        <v>1700</v>
      </c>
    </row>
    <row r="489" customFormat="false" ht="14.25" hidden="false" customHeight="true" outlineLevel="0" collapsed="false"/>
    <row r="490" customFormat="false" ht="14.25" hidden="false" customHeight="true" outlineLevel="0" collapsed="false">
      <c r="A490" s="296" t="s">
        <v>936</v>
      </c>
      <c r="B490" s="297" t="s">
        <v>772</v>
      </c>
      <c r="C490" s="297" t="s">
        <v>138</v>
      </c>
      <c r="D490" s="297" t="s">
        <v>27</v>
      </c>
      <c r="E490" s="297" t="s">
        <v>81</v>
      </c>
      <c r="F490" s="297"/>
    </row>
    <row r="491" customFormat="false" ht="14.25" hidden="false" customHeight="true" outlineLevel="0" collapsed="false">
      <c r="A491" s="213" t="s">
        <v>937</v>
      </c>
      <c r="B491" s="300" t="s">
        <v>938</v>
      </c>
      <c r="C491" s="235" t="n">
        <v>158</v>
      </c>
      <c r="D491" s="235" t="n">
        <v>232</v>
      </c>
      <c r="E491" s="235" t="n">
        <v>256</v>
      </c>
    </row>
    <row r="492" customFormat="false" ht="14.25" hidden="false" customHeight="true" outlineLevel="0" collapsed="false">
      <c r="A492" s="213" t="s">
        <v>939</v>
      </c>
      <c r="B492" s="300" t="s">
        <v>940</v>
      </c>
      <c r="C492" s="235" t="n">
        <v>248</v>
      </c>
      <c r="D492" s="235" t="n">
        <v>366</v>
      </c>
      <c r="E492" s="235" t="n">
        <v>400</v>
      </c>
    </row>
    <row r="493" customFormat="false" ht="14.25" hidden="false" customHeight="true" outlineLevel="0" collapsed="false">
      <c r="A493" s="213" t="s">
        <v>941</v>
      </c>
      <c r="B493" s="300" t="s">
        <v>942</v>
      </c>
      <c r="C493" s="235" t="n">
        <v>264</v>
      </c>
      <c r="D493" s="235" t="n">
        <v>392</v>
      </c>
      <c r="E493" s="235" t="n">
        <v>434</v>
      </c>
    </row>
    <row r="494" customFormat="false" ht="14.25" hidden="false" customHeight="true" outlineLevel="0" collapsed="false">
      <c r="A494" s="213" t="s">
        <v>943</v>
      </c>
      <c r="B494" s="300" t="s">
        <v>944</v>
      </c>
      <c r="C494" s="235" t="n">
        <v>250</v>
      </c>
      <c r="D494" s="235" t="n">
        <v>368</v>
      </c>
      <c r="E494" s="235" t="n">
        <v>408</v>
      </c>
    </row>
    <row r="495" customFormat="false" ht="14.25" hidden="false" customHeight="true" outlineLevel="0" collapsed="false">
      <c r="A495" s="213" t="s">
        <v>945</v>
      </c>
      <c r="B495" s="300" t="s">
        <v>946</v>
      </c>
      <c r="C495" s="235" t="n">
        <v>126</v>
      </c>
      <c r="D495" s="235" t="n">
        <v>184</v>
      </c>
      <c r="E495" s="235" t="n">
        <v>204</v>
      </c>
    </row>
    <row r="496" customFormat="false" ht="14.25" hidden="false" customHeight="true" outlineLevel="0" collapsed="false">
      <c r="A496" s="213" t="s">
        <v>947</v>
      </c>
      <c r="B496" s="300" t="s">
        <v>948</v>
      </c>
      <c r="C496" s="235" t="n">
        <v>204</v>
      </c>
      <c r="D496" s="235" t="n">
        <v>300</v>
      </c>
      <c r="E496" s="235" t="n">
        <v>332</v>
      </c>
    </row>
    <row r="497" customFormat="false" ht="14.25" hidden="false" customHeight="true" outlineLevel="0" collapsed="false">
      <c r="A497" s="213" t="s">
        <v>949</v>
      </c>
      <c r="B497" s="300" t="s">
        <v>950</v>
      </c>
      <c r="C497" s="235" t="n">
        <v>450</v>
      </c>
      <c r="D497" s="235" t="n">
        <v>650</v>
      </c>
      <c r="E497" s="235" t="n">
        <v>720</v>
      </c>
    </row>
    <row r="498" customFormat="false" ht="14.25" hidden="false" customHeight="true" outlineLevel="0" collapsed="false">
      <c r="A498" s="213" t="s">
        <v>951</v>
      </c>
      <c r="B498" s="300" t="s">
        <v>952</v>
      </c>
      <c r="C498" s="235" t="n">
        <v>835</v>
      </c>
      <c r="D498" s="235" t="n">
        <v>1200</v>
      </c>
      <c r="E498" s="235" t="n">
        <v>1328</v>
      </c>
    </row>
    <row r="499" customFormat="false" ht="14.25" hidden="false" customHeight="true" outlineLevel="0" collapsed="false"/>
    <row r="500" customFormat="false" ht="14.25" hidden="false" customHeight="true" outlineLevel="0" collapsed="false">
      <c r="A500" s="296" t="s">
        <v>953</v>
      </c>
      <c r="B500" s="297" t="s">
        <v>772</v>
      </c>
      <c r="C500" s="297" t="s">
        <v>138</v>
      </c>
      <c r="D500" s="297" t="s">
        <v>27</v>
      </c>
      <c r="E500" s="297" t="s">
        <v>81</v>
      </c>
      <c r="F500" s="297"/>
    </row>
    <row r="501" customFormat="false" ht="14.25" hidden="false" customHeight="true" outlineLevel="0" collapsed="false">
      <c r="A501" s="213" t="s">
        <v>954</v>
      </c>
      <c r="B501" s="300" t="s">
        <v>955</v>
      </c>
      <c r="C501" s="235" t="n">
        <v>126</v>
      </c>
      <c r="D501" s="235" t="n">
        <v>184</v>
      </c>
      <c r="E501" s="235" t="n">
        <v>204</v>
      </c>
    </row>
    <row r="502" customFormat="false" ht="14.25" hidden="false" customHeight="true" outlineLevel="0" collapsed="false">
      <c r="A502" s="213" t="s">
        <v>956</v>
      </c>
      <c r="B502" s="300" t="s">
        <v>957</v>
      </c>
      <c r="C502" s="235" t="n">
        <v>126</v>
      </c>
      <c r="D502" s="235" t="n">
        <v>184</v>
      </c>
      <c r="E502" s="235" t="n">
        <v>204</v>
      </c>
    </row>
    <row r="503" customFormat="false" ht="14.25" hidden="false" customHeight="true" outlineLevel="0" collapsed="false">
      <c r="A503" s="213" t="s">
        <v>958</v>
      </c>
      <c r="B503" s="300" t="s">
        <v>959</v>
      </c>
      <c r="C503" s="235" t="n">
        <v>126</v>
      </c>
      <c r="D503" s="235" t="n">
        <v>184</v>
      </c>
      <c r="E503" s="235" t="n">
        <v>204</v>
      </c>
    </row>
    <row r="504" customFormat="false" ht="14.25" hidden="false" customHeight="true" outlineLevel="0" collapsed="false">
      <c r="A504" s="213" t="s">
        <v>960</v>
      </c>
      <c r="B504" s="300" t="s">
        <v>961</v>
      </c>
      <c r="C504" s="235" t="n">
        <v>232</v>
      </c>
      <c r="D504" s="235" t="n">
        <v>340</v>
      </c>
      <c r="E504" s="235" t="n">
        <v>376</v>
      </c>
    </row>
    <row r="505" customFormat="false" ht="14.25" hidden="false" customHeight="true" outlineLevel="0" collapsed="false"/>
    <row r="506" customFormat="false" ht="14.25" hidden="false" customHeight="true" outlineLevel="0" collapsed="false">
      <c r="A506" s="296" t="s">
        <v>962</v>
      </c>
      <c r="B506" s="297" t="s">
        <v>772</v>
      </c>
      <c r="C506" s="297" t="s">
        <v>138</v>
      </c>
      <c r="D506" s="297" t="s">
        <v>27</v>
      </c>
      <c r="E506" s="297" t="s">
        <v>81</v>
      </c>
      <c r="F506" s="297"/>
    </row>
    <row r="507" customFormat="false" ht="14.25" hidden="false" customHeight="true" outlineLevel="0" collapsed="false">
      <c r="A507" s="213" t="s">
        <v>963</v>
      </c>
      <c r="B507" s="300" t="s">
        <v>964</v>
      </c>
      <c r="C507" s="235" t="n">
        <v>92</v>
      </c>
      <c r="D507" s="235" t="n">
        <v>132</v>
      </c>
      <c r="E507" s="235" t="n">
        <v>146</v>
      </c>
    </row>
    <row r="508" customFormat="false" ht="14.25" hidden="false" customHeight="true" outlineLevel="0" collapsed="false">
      <c r="A508" s="213" t="s">
        <v>965</v>
      </c>
      <c r="B508" s="300" t="s">
        <v>966</v>
      </c>
      <c r="C508" s="235" t="n">
        <v>9.5</v>
      </c>
      <c r="D508" s="235" t="n">
        <v>14</v>
      </c>
      <c r="E508" s="235" t="n">
        <v>15.5</v>
      </c>
    </row>
    <row r="509" customFormat="false" ht="14.25" hidden="false" customHeight="true" outlineLevel="0" collapsed="false"/>
    <row r="510" customFormat="false" ht="14.25" hidden="false" customHeight="true" outlineLevel="0" collapsed="false">
      <c r="A510" s="296" t="s">
        <v>967</v>
      </c>
      <c r="B510" s="297" t="s">
        <v>772</v>
      </c>
      <c r="C510" s="297" t="s">
        <v>138</v>
      </c>
      <c r="D510" s="297" t="s">
        <v>27</v>
      </c>
      <c r="E510" s="297" t="s">
        <v>81</v>
      </c>
      <c r="F510" s="297"/>
    </row>
    <row r="511" customFormat="false" ht="14.25" hidden="false" customHeight="true" outlineLevel="0" collapsed="false">
      <c r="A511" s="213" t="s">
        <v>968</v>
      </c>
      <c r="B511" s="300" t="s">
        <v>969</v>
      </c>
      <c r="C511" s="235" t="n">
        <v>69</v>
      </c>
      <c r="D511" s="235" t="n">
        <v>100</v>
      </c>
      <c r="E511" s="235" t="n">
        <v>112</v>
      </c>
    </row>
    <row r="512" customFormat="false" ht="14.25" hidden="false" customHeight="true" outlineLevel="0" collapsed="false">
      <c r="A512" s="213" t="s">
        <v>970</v>
      </c>
      <c r="B512" s="300" t="s">
        <v>971</v>
      </c>
      <c r="C512" s="235" t="n">
        <v>7.25</v>
      </c>
      <c r="D512" s="235" t="n">
        <v>10.5</v>
      </c>
      <c r="E512" s="235" t="n">
        <v>11.5</v>
      </c>
    </row>
    <row r="513" customFormat="false" ht="14.25" hidden="false" customHeight="true" outlineLevel="0" collapsed="false">
      <c r="A513" s="213" t="s">
        <v>972</v>
      </c>
      <c r="B513" s="300" t="s">
        <v>973</v>
      </c>
      <c r="C513" s="235" t="n">
        <v>11</v>
      </c>
      <c r="D513" s="235" t="n">
        <v>16.5</v>
      </c>
      <c r="E513" s="235" t="n">
        <v>18</v>
      </c>
    </row>
    <row r="514" customFormat="false" ht="14.25" hidden="false" customHeight="true" outlineLevel="0" collapsed="false">
      <c r="A514" s="213" t="s">
        <v>974</v>
      </c>
      <c r="B514" s="300" t="s">
        <v>975</v>
      </c>
      <c r="C514" s="235" t="n">
        <v>11</v>
      </c>
      <c r="D514" s="235" t="n">
        <v>16.5</v>
      </c>
      <c r="E514" s="235" t="n">
        <v>18</v>
      </c>
    </row>
    <row r="515" customFormat="false" ht="14.25" hidden="false" customHeight="true" outlineLevel="0" collapsed="false">
      <c r="A515" s="213" t="s">
        <v>976</v>
      </c>
      <c r="B515" s="300" t="s">
        <v>977</v>
      </c>
      <c r="C515" s="235" t="n">
        <v>13.5</v>
      </c>
      <c r="D515" s="235" t="n">
        <v>20</v>
      </c>
      <c r="E515" s="235" t="n">
        <v>22</v>
      </c>
    </row>
    <row r="516" customFormat="false" ht="14.25" hidden="false" customHeight="true" outlineLevel="0" collapsed="false">
      <c r="A516" s="213" t="s">
        <v>978</v>
      </c>
      <c r="B516" s="300" t="s">
        <v>979</v>
      </c>
      <c r="C516" s="235" t="n">
        <v>7.25</v>
      </c>
      <c r="D516" s="235" t="n">
        <v>10.5</v>
      </c>
      <c r="E516" s="235" t="n">
        <v>11.5</v>
      </c>
    </row>
    <row r="517" customFormat="false" ht="14.25" hidden="false" customHeight="true" outlineLevel="0" collapsed="false">
      <c r="A517" s="213" t="s">
        <v>980</v>
      </c>
      <c r="B517" s="300" t="s">
        <v>981</v>
      </c>
      <c r="C517" s="235" t="n">
        <v>7.25</v>
      </c>
      <c r="D517" s="235" t="n">
        <v>10.5</v>
      </c>
      <c r="E517" s="235" t="n">
        <v>11.5</v>
      </c>
    </row>
    <row r="518" customFormat="false" ht="14.25" hidden="false" customHeight="true" outlineLevel="0" collapsed="false">
      <c r="A518" s="213" t="s">
        <v>982</v>
      </c>
      <c r="B518" s="300" t="s">
        <v>983</v>
      </c>
      <c r="C518" s="235" t="n">
        <v>7.25</v>
      </c>
      <c r="D518" s="235" t="n">
        <v>10.5</v>
      </c>
      <c r="E518" s="235" t="n">
        <v>11.5</v>
      </c>
    </row>
    <row r="519" customFormat="false" ht="14.25" hidden="false" customHeight="true" outlineLevel="0" collapsed="false">
      <c r="A519" s="213" t="s">
        <v>984</v>
      </c>
      <c r="B519" s="300" t="s">
        <v>985</v>
      </c>
      <c r="C519" s="235" t="n">
        <v>7.25</v>
      </c>
      <c r="D519" s="235" t="n">
        <v>10.5</v>
      </c>
      <c r="E519" s="235" t="n">
        <v>11.5</v>
      </c>
    </row>
    <row r="520" customFormat="false" ht="14.25" hidden="false" customHeight="true" outlineLevel="0" collapsed="false">
      <c r="A520" s="213" t="s">
        <v>986</v>
      </c>
      <c r="B520" s="300" t="s">
        <v>987</v>
      </c>
      <c r="C520" s="235" t="n">
        <v>7.25</v>
      </c>
      <c r="D520" s="235" t="n">
        <v>10.5</v>
      </c>
      <c r="E520" s="235" t="n">
        <v>11.5</v>
      </c>
    </row>
    <row r="521" customFormat="false" ht="14.25" hidden="false" customHeight="true" outlineLevel="0" collapsed="false">
      <c r="A521" s="213" t="s">
        <v>988</v>
      </c>
      <c r="B521" s="300" t="s">
        <v>989</v>
      </c>
      <c r="C521" s="235" t="n">
        <v>7.25</v>
      </c>
      <c r="D521" s="235" t="n">
        <v>10.5</v>
      </c>
      <c r="E521" s="235" t="n">
        <v>11.5</v>
      </c>
    </row>
    <row r="522" customFormat="false" ht="14.25" hidden="false" customHeight="true" outlineLevel="0" collapsed="false">
      <c r="A522" s="213" t="s">
        <v>990</v>
      </c>
      <c r="B522" s="300" t="s">
        <v>991</v>
      </c>
      <c r="C522" s="235" t="n">
        <v>7.25</v>
      </c>
      <c r="D522" s="235" t="n">
        <v>10.5</v>
      </c>
      <c r="E522" s="235" t="n">
        <v>11.5</v>
      </c>
    </row>
    <row r="523" customFormat="false" ht="14.25" hidden="false" customHeight="true" outlineLevel="0" collapsed="false">
      <c r="A523" s="213" t="s">
        <v>992</v>
      </c>
      <c r="B523" s="300" t="s">
        <v>993</v>
      </c>
      <c r="C523" s="235" t="n">
        <v>29</v>
      </c>
      <c r="D523" s="235" t="n">
        <v>42</v>
      </c>
      <c r="E523" s="235" t="n">
        <v>46</v>
      </c>
    </row>
    <row r="524" customFormat="false" ht="14.25" hidden="false" customHeight="true" outlineLevel="0" collapsed="false">
      <c r="A524" s="213" t="s">
        <v>994</v>
      </c>
      <c r="B524" s="300" t="s">
        <v>995</v>
      </c>
      <c r="C524" s="235" t="n">
        <v>6.6</v>
      </c>
      <c r="D524" s="235" t="n">
        <v>10</v>
      </c>
      <c r="E524" s="235" t="n">
        <v>11</v>
      </c>
    </row>
    <row r="525" customFormat="false" ht="14.25" hidden="false" customHeight="true" outlineLevel="0" collapsed="false">
      <c r="A525" s="213" t="s">
        <v>996</v>
      </c>
      <c r="B525" s="300" t="s">
        <v>997</v>
      </c>
      <c r="C525" s="235" t="n">
        <v>15.25</v>
      </c>
      <c r="D525" s="235" t="n">
        <v>22.5</v>
      </c>
      <c r="E525" s="235" t="n">
        <v>25</v>
      </c>
    </row>
    <row r="526" customFormat="false" ht="14.25" hidden="false" customHeight="true" outlineLevel="0" collapsed="false"/>
    <row r="527" customFormat="false" ht="14.25" hidden="false" customHeight="true" outlineLevel="0" collapsed="false">
      <c r="A527" s="296" t="s">
        <v>998</v>
      </c>
      <c r="B527" s="297" t="s">
        <v>772</v>
      </c>
      <c r="C527" s="297" t="s">
        <v>138</v>
      </c>
      <c r="D527" s="297" t="s">
        <v>27</v>
      </c>
      <c r="E527" s="297" t="s">
        <v>81</v>
      </c>
      <c r="F527" s="297"/>
    </row>
    <row r="528" customFormat="false" ht="14.25" hidden="false" customHeight="true" outlineLevel="0" collapsed="false">
      <c r="A528" s="213" t="s">
        <v>999</v>
      </c>
      <c r="B528" s="300" t="s">
        <v>1000</v>
      </c>
      <c r="C528" s="235" t="n">
        <v>30</v>
      </c>
      <c r="D528" s="235" t="n">
        <v>44</v>
      </c>
      <c r="E528" s="235" t="n">
        <v>48</v>
      </c>
    </row>
    <row r="529" customFormat="false" ht="14.25" hidden="false" customHeight="true" outlineLevel="0" collapsed="false">
      <c r="A529" s="213" t="s">
        <v>1001</v>
      </c>
      <c r="B529" s="300" t="s">
        <v>1002</v>
      </c>
      <c r="C529" s="235" t="n">
        <v>58</v>
      </c>
      <c r="D529" s="235" t="n">
        <v>86</v>
      </c>
      <c r="E529" s="235" t="n">
        <v>95</v>
      </c>
    </row>
    <row r="530" customFormat="false" ht="14.25" hidden="false" customHeight="true" outlineLevel="0" collapsed="false">
      <c r="A530" s="213" t="s">
        <v>1003</v>
      </c>
      <c r="B530" s="300" t="s">
        <v>1004</v>
      </c>
      <c r="C530" s="235" t="n">
        <v>96</v>
      </c>
      <c r="D530" s="235" t="n">
        <v>140</v>
      </c>
      <c r="E530" s="235" t="n">
        <v>155</v>
      </c>
    </row>
    <row r="531" customFormat="false" ht="14.25" hidden="false" customHeight="true" outlineLevel="0" collapsed="false">
      <c r="A531" s="213" t="s">
        <v>1005</v>
      </c>
      <c r="B531" s="300" t="s">
        <v>1006</v>
      </c>
      <c r="C531" s="235" t="n">
        <v>18.8</v>
      </c>
      <c r="D531" s="235" t="n">
        <v>28</v>
      </c>
      <c r="E531" s="235" t="n">
        <v>31</v>
      </c>
    </row>
    <row r="532" customFormat="false" ht="14.25" hidden="false" customHeight="true" outlineLevel="0" collapsed="false">
      <c r="A532" s="213" t="s">
        <v>1007</v>
      </c>
      <c r="B532" s="300" t="s">
        <v>1008</v>
      </c>
      <c r="C532" s="235" t="n">
        <v>16.8</v>
      </c>
      <c r="D532" s="235" t="n">
        <v>25</v>
      </c>
      <c r="E532" s="235" t="n">
        <v>28</v>
      </c>
    </row>
    <row r="533" customFormat="false" ht="14.25" hidden="false" customHeight="true" outlineLevel="0" collapsed="false">
      <c r="A533" s="213" t="s">
        <v>1009</v>
      </c>
      <c r="B533" s="300" t="s">
        <v>1010</v>
      </c>
      <c r="C533" s="235" t="n">
        <v>34</v>
      </c>
      <c r="D533" s="235" t="n">
        <v>50</v>
      </c>
      <c r="E533" s="235" t="n">
        <v>54</v>
      </c>
    </row>
    <row r="534" customFormat="false" ht="14.25" hidden="false" customHeight="true" outlineLevel="0" collapsed="false">
      <c r="A534" s="213" t="s">
        <v>1011</v>
      </c>
      <c r="B534" s="300" t="s">
        <v>1012</v>
      </c>
      <c r="C534" s="235" t="n">
        <v>28</v>
      </c>
      <c r="D534" s="235" t="n">
        <v>42</v>
      </c>
      <c r="E534" s="235" t="n">
        <v>46</v>
      </c>
    </row>
    <row r="535" customFormat="false" ht="14.25" hidden="false" customHeight="true" outlineLevel="0" collapsed="false">
      <c r="A535" s="213" t="s">
        <v>1013</v>
      </c>
      <c r="B535" s="300" t="s">
        <v>1014</v>
      </c>
      <c r="C535" s="235" t="n">
        <v>142</v>
      </c>
      <c r="D535" s="235" t="n">
        <v>210</v>
      </c>
      <c r="E535" s="235" t="n">
        <v>232</v>
      </c>
    </row>
    <row r="536" customFormat="false" ht="14.25" hidden="false" customHeight="true" outlineLevel="0" collapsed="false">
      <c r="A536" s="213" t="s">
        <v>1015</v>
      </c>
      <c r="B536" s="300" t="s">
        <v>1016</v>
      </c>
      <c r="C536" s="235" t="n">
        <v>128</v>
      </c>
      <c r="D536" s="235" t="n">
        <v>190</v>
      </c>
      <c r="E536" s="235" t="n">
        <v>210</v>
      </c>
    </row>
    <row r="537" customFormat="false" ht="14.25" hidden="false" customHeight="true" outlineLevel="0" collapsed="false">
      <c r="A537" s="213" t="s">
        <v>1017</v>
      </c>
      <c r="B537" s="300" t="s">
        <v>1018</v>
      </c>
      <c r="C537" s="235" t="n">
        <v>22</v>
      </c>
      <c r="D537" s="235" t="n">
        <v>32</v>
      </c>
      <c r="E537" s="235" t="n">
        <v>36</v>
      </c>
    </row>
    <row r="538" customFormat="false" ht="14.25" hidden="false" customHeight="true" outlineLevel="0" collapsed="false"/>
    <row r="539" customFormat="false" ht="14.25" hidden="false" customHeight="true" outlineLevel="0" collapsed="false">
      <c r="A539" s="296" t="s">
        <v>1019</v>
      </c>
      <c r="B539" s="297" t="s">
        <v>772</v>
      </c>
      <c r="C539" s="297" t="s">
        <v>138</v>
      </c>
      <c r="D539" s="297" t="s">
        <v>27</v>
      </c>
      <c r="E539" s="297" t="s">
        <v>81</v>
      </c>
      <c r="F539" s="297"/>
    </row>
    <row r="540" customFormat="false" ht="14.25" hidden="false" customHeight="true" outlineLevel="0" collapsed="false">
      <c r="A540" s="213" t="s">
        <v>1020</v>
      </c>
      <c r="B540" s="300" t="s">
        <v>1021</v>
      </c>
      <c r="C540" s="235" t="n">
        <v>100</v>
      </c>
      <c r="D540" s="235" t="n">
        <v>144</v>
      </c>
      <c r="E540" s="235" t="n">
        <v>160</v>
      </c>
    </row>
    <row r="541" customFormat="false" ht="14.25" hidden="false" customHeight="true" outlineLevel="0" collapsed="false">
      <c r="A541" s="213" t="s">
        <v>1022</v>
      </c>
      <c r="B541" s="300" t="s">
        <v>1023</v>
      </c>
      <c r="C541" s="235" t="n">
        <v>4.4</v>
      </c>
      <c r="D541" s="235" t="n">
        <v>6.5</v>
      </c>
      <c r="E541" s="235" t="n">
        <v>7</v>
      </c>
    </row>
    <row r="542" customFormat="false" ht="14.25" hidden="false" customHeight="true" outlineLevel="0" collapsed="false"/>
    <row r="543" customFormat="false" ht="14.25" hidden="false" customHeight="true" outlineLevel="0" collapsed="false">
      <c r="A543" s="296" t="s">
        <v>1024</v>
      </c>
      <c r="B543" s="297" t="s">
        <v>772</v>
      </c>
      <c r="C543" s="297" t="s">
        <v>138</v>
      </c>
      <c r="D543" s="297" t="s">
        <v>27</v>
      </c>
      <c r="E543" s="297" t="s">
        <v>81</v>
      </c>
      <c r="F543" s="297"/>
    </row>
    <row r="544" customFormat="false" ht="14.25" hidden="false" customHeight="true" outlineLevel="0" collapsed="false">
      <c r="A544" s="213" t="s">
        <v>1025</v>
      </c>
      <c r="B544" s="300" t="s">
        <v>1026</v>
      </c>
      <c r="C544" s="235" t="n">
        <v>37.5</v>
      </c>
      <c r="D544" s="235" t="n">
        <v>55</v>
      </c>
      <c r="E544" s="235" t="n">
        <v>60</v>
      </c>
    </row>
    <row r="545" customFormat="false" ht="14.25" hidden="false" customHeight="true" outlineLevel="0" collapsed="false">
      <c r="A545" s="213" t="s">
        <v>1027</v>
      </c>
      <c r="B545" s="300" t="s">
        <v>1028</v>
      </c>
      <c r="C545" s="235" t="n">
        <v>32.5</v>
      </c>
      <c r="D545" s="235" t="n">
        <v>48</v>
      </c>
      <c r="E545" s="235" t="n">
        <v>52</v>
      </c>
    </row>
    <row r="546" customFormat="false" ht="14.25" hidden="false" customHeight="true" outlineLevel="0" collapsed="false"/>
    <row r="547" customFormat="false" ht="14.25" hidden="false" customHeight="true" outlineLevel="0" collapsed="false">
      <c r="A547" s="296" t="s">
        <v>1029</v>
      </c>
      <c r="B547" s="297" t="s">
        <v>772</v>
      </c>
      <c r="C547" s="297" t="s">
        <v>138</v>
      </c>
      <c r="D547" s="297" t="s">
        <v>27</v>
      </c>
      <c r="E547" s="297" t="s">
        <v>81</v>
      </c>
      <c r="F547" s="297"/>
    </row>
    <row r="548" customFormat="false" ht="14.25" hidden="false" customHeight="true" outlineLevel="0" collapsed="false">
      <c r="A548" s="213" t="s">
        <v>1030</v>
      </c>
      <c r="B548" s="300" t="s">
        <v>1031</v>
      </c>
      <c r="C548" s="235" t="n">
        <v>23.4</v>
      </c>
      <c r="D548" s="235" t="n">
        <v>34</v>
      </c>
      <c r="E548" s="235" t="n">
        <v>37.5</v>
      </c>
    </row>
    <row r="549" customFormat="false" ht="14.25" hidden="false" customHeight="true" outlineLevel="0" collapsed="false">
      <c r="A549" s="213" t="s">
        <v>1032</v>
      </c>
      <c r="B549" s="300" t="s">
        <v>1033</v>
      </c>
      <c r="C549" s="235" t="n">
        <v>8.25</v>
      </c>
      <c r="D549" s="235" t="n">
        <v>12.5</v>
      </c>
      <c r="E549" s="235" t="n">
        <v>13.5</v>
      </c>
    </row>
    <row r="550" customFormat="false" ht="14.25" hidden="false" customHeight="true" outlineLevel="0" collapsed="false">
      <c r="A550" s="213" t="s">
        <v>1034</v>
      </c>
      <c r="B550" s="300" t="s">
        <v>1035</v>
      </c>
      <c r="C550" s="235" t="n">
        <v>30</v>
      </c>
      <c r="D550" s="235" t="n">
        <v>44</v>
      </c>
      <c r="E550" s="235" t="n">
        <v>48.5</v>
      </c>
    </row>
    <row r="551" customFormat="false" ht="14.25" hidden="false" customHeight="true" outlineLevel="0" collapsed="false">
      <c r="A551" s="213" t="s">
        <v>1036</v>
      </c>
      <c r="B551" s="300" t="s">
        <v>1037</v>
      </c>
      <c r="C551" s="235" t="n">
        <v>14</v>
      </c>
      <c r="D551" s="235" t="n">
        <v>20.5</v>
      </c>
      <c r="E551" s="235" t="n">
        <v>22.5</v>
      </c>
    </row>
    <row r="552" customFormat="false" ht="14.25" hidden="false" customHeight="true" outlineLevel="0" collapsed="false">
      <c r="A552" s="213" t="s">
        <v>1038</v>
      </c>
      <c r="B552" s="300" t="s">
        <v>1039</v>
      </c>
      <c r="C552" s="235" t="n">
        <v>14</v>
      </c>
      <c r="D552" s="235" t="n">
        <v>20.5</v>
      </c>
      <c r="E552" s="235" t="n">
        <v>22.5</v>
      </c>
    </row>
    <row r="553" customFormat="false" ht="14.25" hidden="false" customHeight="true" outlineLevel="0" collapsed="false">
      <c r="A553" s="213" t="s">
        <v>1040</v>
      </c>
      <c r="B553" s="300" t="s">
        <v>1041</v>
      </c>
      <c r="C553" s="235" t="n">
        <v>14</v>
      </c>
      <c r="D553" s="235" t="n">
        <v>20.5</v>
      </c>
      <c r="E553" s="235" t="n">
        <v>22.5</v>
      </c>
    </row>
    <row r="554" customFormat="false" ht="14.25" hidden="false" customHeight="true" outlineLevel="0" collapsed="false">
      <c r="A554" s="213" t="s">
        <v>1042</v>
      </c>
      <c r="B554" s="300" t="s">
        <v>1043</v>
      </c>
      <c r="C554" s="235" t="n">
        <v>14</v>
      </c>
      <c r="D554" s="235" t="n">
        <v>20.5</v>
      </c>
      <c r="E554" s="235" t="n">
        <v>22.5</v>
      </c>
    </row>
    <row r="555" customFormat="false" ht="14.25" hidden="false" customHeight="true" outlineLevel="0" collapsed="false">
      <c r="A555" s="213" t="s">
        <v>1044</v>
      </c>
      <c r="B555" s="300" t="s">
        <v>1045</v>
      </c>
      <c r="C555" s="235" t="n">
        <v>5.75</v>
      </c>
      <c r="D555" s="235" t="n">
        <v>8.5</v>
      </c>
      <c r="E555" s="235" t="n">
        <v>9.25</v>
      </c>
    </row>
    <row r="556" customFormat="false" ht="14.25" hidden="false" customHeight="true" outlineLevel="0" collapsed="false">
      <c r="A556" s="213" t="s">
        <v>1046</v>
      </c>
      <c r="B556" s="300" t="s">
        <v>1047</v>
      </c>
      <c r="C556" s="235" t="n">
        <v>5.75</v>
      </c>
      <c r="D556" s="235" t="n">
        <v>8.5</v>
      </c>
      <c r="E556" s="235" t="n">
        <v>9.25</v>
      </c>
    </row>
    <row r="557" customFormat="false" ht="14.25" hidden="false" customHeight="true" outlineLevel="0" collapsed="false">
      <c r="A557" s="213" t="s">
        <v>1048</v>
      </c>
      <c r="B557" s="300" t="s">
        <v>1049</v>
      </c>
      <c r="C557" s="235" t="n">
        <v>5.75</v>
      </c>
      <c r="D557" s="235" t="n">
        <v>8.5</v>
      </c>
      <c r="E557" s="235" t="n">
        <v>9.25</v>
      </c>
    </row>
    <row r="558" customFormat="false" ht="14.25" hidden="false" customHeight="true" outlineLevel="0" collapsed="false">
      <c r="A558" s="213" t="s">
        <v>1050</v>
      </c>
      <c r="B558" s="300" t="s">
        <v>1051</v>
      </c>
      <c r="C558" s="235" t="n">
        <v>5.75</v>
      </c>
      <c r="D558" s="235" t="n">
        <v>8.5</v>
      </c>
      <c r="E558" s="235" t="n">
        <v>9.25</v>
      </c>
    </row>
    <row r="559" customFormat="false" ht="14.25" hidden="false" customHeight="true" outlineLevel="0" collapsed="false">
      <c r="A559" s="213" t="s">
        <v>1052</v>
      </c>
      <c r="B559" s="300" t="s">
        <v>1053</v>
      </c>
      <c r="C559" s="235" t="n">
        <v>5.75</v>
      </c>
      <c r="D559" s="235" t="n">
        <v>8.5</v>
      </c>
      <c r="E559" s="235" t="n">
        <v>9.25</v>
      </c>
    </row>
    <row r="560" customFormat="false" ht="14.25" hidden="false" customHeight="true" outlineLevel="0" collapsed="false">
      <c r="A560" s="213" t="s">
        <v>1054</v>
      </c>
      <c r="B560" s="300" t="s">
        <v>1055</v>
      </c>
      <c r="C560" s="235" t="n">
        <v>5.75</v>
      </c>
      <c r="D560" s="235" t="n">
        <v>8.5</v>
      </c>
      <c r="E560" s="235" t="n">
        <v>9.25</v>
      </c>
    </row>
    <row r="561" customFormat="false" ht="14.25" hidden="false" customHeight="true" outlineLevel="0" collapsed="false">
      <c r="A561" s="213" t="s">
        <v>1056</v>
      </c>
      <c r="B561" s="300" t="s">
        <v>1057</v>
      </c>
      <c r="C561" s="235" t="n">
        <v>9</v>
      </c>
      <c r="D561" s="235" t="n">
        <v>13.5</v>
      </c>
      <c r="E561" s="235" t="n">
        <v>15</v>
      </c>
    </row>
    <row r="562" customFormat="false" ht="14.25" hidden="false" customHeight="true" outlineLevel="0" collapsed="false">
      <c r="A562" s="213" t="s">
        <v>1058</v>
      </c>
      <c r="B562" s="300" t="s">
        <v>1059</v>
      </c>
      <c r="C562" s="235" t="n">
        <v>34.5</v>
      </c>
      <c r="D562" s="235" t="n">
        <v>50</v>
      </c>
      <c r="E562" s="235" t="n">
        <v>55</v>
      </c>
    </row>
    <row r="563" customFormat="false" ht="14.25" hidden="false" customHeight="true" outlineLevel="0" collapsed="false"/>
    <row r="564" customFormat="false" ht="14.25" hidden="false" customHeight="true" outlineLevel="0" collapsed="false">
      <c r="A564" s="296" t="s">
        <v>1060</v>
      </c>
      <c r="B564" s="297" t="s">
        <v>772</v>
      </c>
      <c r="C564" s="297" t="s">
        <v>138</v>
      </c>
      <c r="D564" s="297" t="s">
        <v>27</v>
      </c>
      <c r="E564" s="297" t="s">
        <v>81</v>
      </c>
      <c r="F564" s="297"/>
    </row>
    <row r="565" customFormat="false" ht="14.25" hidden="false" customHeight="true" outlineLevel="0" collapsed="false">
      <c r="A565" s="213" t="s">
        <v>1061</v>
      </c>
      <c r="B565" s="300" t="s">
        <v>1062</v>
      </c>
      <c r="C565" s="235" t="n">
        <v>7.5</v>
      </c>
      <c r="D565" s="235" t="n">
        <v>10.5</v>
      </c>
      <c r="E565" s="235" t="n">
        <v>11.5</v>
      </c>
    </row>
    <row r="566" customFormat="false" ht="14.25" hidden="false" customHeight="true" outlineLevel="0" collapsed="false">
      <c r="A566" s="213" t="s">
        <v>1063</v>
      </c>
      <c r="B566" s="300" t="s">
        <v>1064</v>
      </c>
      <c r="C566" s="235" t="n">
        <v>11.25</v>
      </c>
      <c r="D566" s="235" t="n">
        <v>16.5</v>
      </c>
      <c r="E566" s="235" t="n">
        <v>18</v>
      </c>
    </row>
    <row r="567" customFormat="false" ht="14.25" hidden="false" customHeight="true" outlineLevel="0" collapsed="false">
      <c r="A567" s="213" t="s">
        <v>1065</v>
      </c>
      <c r="B567" s="300" t="s">
        <v>1066</v>
      </c>
      <c r="C567" s="235" t="n">
        <v>15.75</v>
      </c>
      <c r="D567" s="235" t="n">
        <v>23</v>
      </c>
      <c r="E567" s="235" t="n">
        <v>25.5</v>
      </c>
    </row>
    <row r="568" customFormat="false" ht="14.25" hidden="false" customHeight="true" outlineLevel="0" collapsed="false">
      <c r="A568" s="213" t="s">
        <v>1067</v>
      </c>
      <c r="B568" s="300" t="s">
        <v>1068</v>
      </c>
      <c r="C568" s="235" t="n">
        <v>16</v>
      </c>
      <c r="D568" s="235" t="n">
        <v>24</v>
      </c>
      <c r="E568" s="235" t="n">
        <v>26.5</v>
      </c>
    </row>
    <row r="569" customFormat="false" ht="14.25" hidden="false" customHeight="true" outlineLevel="0" collapsed="false">
      <c r="A569" s="213" t="s">
        <v>1069</v>
      </c>
      <c r="B569" s="300" t="s">
        <v>1070</v>
      </c>
      <c r="C569" s="235" t="n">
        <v>23</v>
      </c>
      <c r="D569" s="235" t="n">
        <v>34</v>
      </c>
      <c r="E569" s="235" t="n">
        <v>37.5</v>
      </c>
    </row>
    <row r="570" customFormat="false" ht="14.25" hidden="false" customHeight="true" outlineLevel="0" collapsed="false">
      <c r="A570" s="213" t="s">
        <v>1071</v>
      </c>
      <c r="B570" s="300" t="s">
        <v>1072</v>
      </c>
      <c r="C570" s="235" t="n">
        <v>24.75</v>
      </c>
      <c r="D570" s="235" t="n">
        <v>36</v>
      </c>
      <c r="E570" s="235" t="n">
        <v>40</v>
      </c>
    </row>
    <row r="571" customFormat="false" ht="14.25" hidden="false" customHeight="true" outlineLevel="0" collapsed="false">
      <c r="A571" s="213" t="s">
        <v>1073</v>
      </c>
      <c r="B571" s="300" t="s">
        <v>1074</v>
      </c>
      <c r="C571" s="235" t="n">
        <v>5.75</v>
      </c>
      <c r="D571" s="235" t="n">
        <v>8.5</v>
      </c>
      <c r="E571" s="235" t="n">
        <v>9.5</v>
      </c>
    </row>
    <row r="572" customFormat="false" ht="14.25" hidden="false" customHeight="true" outlineLevel="0" collapsed="false">
      <c r="A572" s="213" t="s">
        <v>1075</v>
      </c>
      <c r="B572" s="300" t="s">
        <v>1076</v>
      </c>
      <c r="C572" s="235" t="n">
        <v>23</v>
      </c>
      <c r="D572" s="235" t="n">
        <v>34</v>
      </c>
      <c r="E572" s="235" t="n">
        <v>37.5</v>
      </c>
    </row>
    <row r="573" customFormat="false" ht="14.25" hidden="false" customHeight="true" outlineLevel="0" collapsed="false">
      <c r="A573" s="213" t="s">
        <v>1077</v>
      </c>
      <c r="B573" s="300" t="s">
        <v>1078</v>
      </c>
      <c r="C573" s="235" t="n">
        <v>4</v>
      </c>
      <c r="D573" s="235" t="n">
        <v>6</v>
      </c>
      <c r="E573" s="235" t="n">
        <v>6.5</v>
      </c>
    </row>
    <row r="574" customFormat="false" ht="14.25" hidden="false" customHeight="true" outlineLevel="0" collapsed="false"/>
    <row r="575" customFormat="false" ht="14.25" hidden="false" customHeight="true" outlineLevel="0" collapsed="false">
      <c r="A575" s="296" t="s">
        <v>1079</v>
      </c>
      <c r="B575" s="297" t="s">
        <v>772</v>
      </c>
      <c r="C575" s="297" t="s">
        <v>138</v>
      </c>
      <c r="D575" s="297" t="s">
        <v>27</v>
      </c>
      <c r="E575" s="297" t="s">
        <v>81</v>
      </c>
      <c r="F575" s="297"/>
    </row>
    <row r="576" customFormat="false" ht="14.25" hidden="false" customHeight="true" outlineLevel="0" collapsed="false">
      <c r="A576" s="213" t="s">
        <v>1080</v>
      </c>
      <c r="B576" s="300" t="s">
        <v>1081</v>
      </c>
      <c r="C576" s="235" t="n">
        <v>18</v>
      </c>
      <c r="D576" s="235" t="n">
        <v>26</v>
      </c>
      <c r="E576" s="235" t="n">
        <v>28.5</v>
      </c>
    </row>
    <row r="577" customFormat="false" ht="14.25" hidden="false" customHeight="true" outlineLevel="0" collapsed="false">
      <c r="A577" s="213" t="s">
        <v>1082</v>
      </c>
      <c r="B577" s="300" t="s">
        <v>1083</v>
      </c>
      <c r="C577" s="235" t="n">
        <v>18</v>
      </c>
      <c r="D577" s="235" t="n">
        <v>26</v>
      </c>
      <c r="E577" s="235" t="n">
        <v>28.5</v>
      </c>
    </row>
    <row r="578" customFormat="false" ht="14.25" hidden="false" customHeight="true" outlineLevel="0" collapsed="false">
      <c r="A578" s="213" t="s">
        <v>1084</v>
      </c>
      <c r="B578" s="300" t="s">
        <v>1085</v>
      </c>
      <c r="C578" s="235" t="n">
        <v>23</v>
      </c>
      <c r="D578" s="235" t="n">
        <v>34</v>
      </c>
      <c r="E578" s="235" t="n">
        <v>37.5</v>
      </c>
    </row>
    <row r="579" customFormat="false" ht="14.25" hidden="false" customHeight="true" outlineLevel="0" collapsed="false">
      <c r="A579" s="213" t="s">
        <v>1086</v>
      </c>
      <c r="B579" s="300" t="s">
        <v>1087</v>
      </c>
      <c r="C579" s="235" t="n">
        <v>27.5</v>
      </c>
      <c r="D579" s="235" t="n">
        <v>40</v>
      </c>
      <c r="E579" s="235" t="n">
        <v>44</v>
      </c>
    </row>
    <row r="580" customFormat="false" ht="14.25" hidden="false" customHeight="true" outlineLevel="0" collapsed="false">
      <c r="A580" s="213" t="s">
        <v>1088</v>
      </c>
      <c r="B580" s="300" t="s">
        <v>1089</v>
      </c>
      <c r="C580" s="235" t="n">
        <v>34</v>
      </c>
      <c r="D580" s="235" t="n">
        <v>50</v>
      </c>
      <c r="E580" s="235" t="n">
        <v>55.5</v>
      </c>
    </row>
    <row r="581" customFormat="false" ht="14.25" hidden="false" customHeight="true" outlineLevel="0" collapsed="false">
      <c r="A581" s="213" t="s">
        <v>1090</v>
      </c>
      <c r="B581" s="300" t="s">
        <v>1091</v>
      </c>
      <c r="C581" s="235" t="n">
        <v>34</v>
      </c>
      <c r="D581" s="235" t="n">
        <v>50</v>
      </c>
      <c r="E581" s="235" t="n">
        <v>55.5</v>
      </c>
    </row>
    <row r="582" customFormat="false" ht="14.25" hidden="false" customHeight="true" outlineLevel="0" collapsed="false">
      <c r="A582" s="213" t="s">
        <v>1092</v>
      </c>
      <c r="B582" s="300" t="s">
        <v>1093</v>
      </c>
      <c r="C582" s="235" t="n">
        <v>57.5</v>
      </c>
      <c r="D582" s="235" t="n">
        <v>84</v>
      </c>
      <c r="E582" s="235" t="n">
        <v>92</v>
      </c>
    </row>
    <row r="583" customFormat="false" ht="14.25" hidden="false" customHeight="true" outlineLevel="0" collapsed="false">
      <c r="A583" s="213" t="s">
        <v>1094</v>
      </c>
      <c r="B583" s="300" t="s">
        <v>1095</v>
      </c>
      <c r="C583" s="235" t="n">
        <v>35.5</v>
      </c>
      <c r="D583" s="235" t="n">
        <v>52</v>
      </c>
      <c r="E583" s="235" t="n">
        <v>58</v>
      </c>
    </row>
    <row r="584" customFormat="false" ht="14.25" hidden="false" customHeight="true" outlineLevel="0" collapsed="false">
      <c r="A584" s="213" t="s">
        <v>1096</v>
      </c>
      <c r="B584" s="300" t="s">
        <v>1097</v>
      </c>
      <c r="C584" s="235" t="n">
        <v>35.5</v>
      </c>
      <c r="D584" s="235" t="n">
        <v>52</v>
      </c>
      <c r="E584" s="235" t="n">
        <v>58</v>
      </c>
    </row>
    <row r="585" customFormat="false" ht="14.25" hidden="false" customHeight="true" outlineLevel="0" collapsed="false">
      <c r="A585" s="213" t="s">
        <v>1098</v>
      </c>
      <c r="B585" s="300" t="s">
        <v>1099</v>
      </c>
      <c r="C585" s="235" t="n">
        <v>92</v>
      </c>
      <c r="D585" s="235" t="n">
        <v>134</v>
      </c>
      <c r="E585" s="235" t="n">
        <v>148</v>
      </c>
    </row>
    <row r="586" customFormat="false" ht="14.25" hidden="false" customHeight="true" outlineLevel="0" collapsed="false">
      <c r="A586" s="213" t="s">
        <v>1100</v>
      </c>
      <c r="B586" s="300" t="s">
        <v>1101</v>
      </c>
      <c r="C586" s="235" t="n">
        <v>4</v>
      </c>
      <c r="D586" s="235" t="n">
        <v>6</v>
      </c>
      <c r="E586" s="235" t="n">
        <v>6.5</v>
      </c>
    </row>
    <row r="587" customFormat="false" ht="14.25" hidden="false" customHeight="true" outlineLevel="0" collapsed="false">
      <c r="A587" s="213" t="s">
        <v>1102</v>
      </c>
      <c r="B587" s="300" t="s">
        <v>1103</v>
      </c>
      <c r="C587" s="235" t="n">
        <v>5.5</v>
      </c>
      <c r="D587" s="235" t="n">
        <v>8</v>
      </c>
      <c r="E587" s="235" t="n">
        <v>8.5</v>
      </c>
    </row>
    <row r="588" customFormat="false" ht="14.25" hidden="false" customHeight="true" outlineLevel="0" collapsed="false">
      <c r="A588" s="213" t="s">
        <v>1104</v>
      </c>
      <c r="B588" s="300" t="s">
        <v>1105</v>
      </c>
      <c r="C588" s="235" t="n">
        <v>16</v>
      </c>
      <c r="D588" s="235" t="n">
        <v>24</v>
      </c>
      <c r="E588" s="235" t="n">
        <v>26.5</v>
      </c>
    </row>
    <row r="589" customFormat="false" ht="14.25" hidden="false" customHeight="true" outlineLevel="0" collapsed="false">
      <c r="A589" s="213" t="s">
        <v>1106</v>
      </c>
      <c r="B589" s="300" t="s">
        <v>1107</v>
      </c>
      <c r="C589" s="235" t="n">
        <v>13.5</v>
      </c>
      <c r="D589" s="235" t="n">
        <v>20</v>
      </c>
      <c r="E589" s="235" t="n">
        <v>22</v>
      </c>
    </row>
    <row r="590" customFormat="false" ht="14.25" hidden="false" customHeight="true" outlineLevel="0" collapsed="false">
      <c r="A590" s="213" t="s">
        <v>1108</v>
      </c>
      <c r="B590" s="300" t="s">
        <v>1109</v>
      </c>
      <c r="C590" s="235" t="n">
        <v>12</v>
      </c>
      <c r="D590" s="235" t="n">
        <v>16.5</v>
      </c>
      <c r="E590" s="235" t="n">
        <v>18</v>
      </c>
    </row>
    <row r="591" customFormat="false" ht="14.25" hidden="false" customHeight="true" outlineLevel="0" collapsed="false">
      <c r="A591" s="213" t="s">
        <v>1110</v>
      </c>
      <c r="B591" s="300" t="s">
        <v>1111</v>
      </c>
      <c r="C591" s="235" t="n">
        <v>12</v>
      </c>
      <c r="D591" s="235" t="n">
        <v>18.5</v>
      </c>
      <c r="E591" s="235" t="n">
        <v>20.5</v>
      </c>
    </row>
    <row r="592" customFormat="false" ht="14.25" hidden="false" customHeight="true" outlineLevel="0" collapsed="false">
      <c r="A592" s="213" t="s">
        <v>1112</v>
      </c>
      <c r="B592" s="300" t="s">
        <v>1113</v>
      </c>
      <c r="C592" s="235" t="n">
        <v>16.75</v>
      </c>
      <c r="D592" s="235" t="n">
        <v>25</v>
      </c>
      <c r="E592" s="235" t="n">
        <v>28</v>
      </c>
    </row>
    <row r="593" customFormat="false" ht="14.25" hidden="false" customHeight="true" outlineLevel="0" collapsed="false">
      <c r="A593" s="213" t="s">
        <v>1114</v>
      </c>
      <c r="B593" s="300" t="s">
        <v>1115</v>
      </c>
      <c r="C593" s="235" t="n">
        <v>9</v>
      </c>
      <c r="D593" s="235" t="n">
        <v>13.5</v>
      </c>
      <c r="E593" s="235" t="n">
        <v>15</v>
      </c>
    </row>
    <row r="594" customFormat="false" ht="14.25" hidden="false" customHeight="true" outlineLevel="0" collapsed="false"/>
    <row r="595" customFormat="false" ht="14.25" hidden="false" customHeight="true" outlineLevel="0" collapsed="false">
      <c r="A595" s="296" t="s">
        <v>1116</v>
      </c>
      <c r="B595" s="297" t="s">
        <v>772</v>
      </c>
      <c r="C595" s="297" t="s">
        <v>138</v>
      </c>
      <c r="D595" s="297" t="s">
        <v>27</v>
      </c>
      <c r="E595" s="297" t="s">
        <v>81</v>
      </c>
      <c r="F595" s="297"/>
    </row>
    <row r="596" customFormat="false" ht="14.25" hidden="false" customHeight="true" outlineLevel="0" collapsed="false">
      <c r="A596" s="213" t="s">
        <v>1117</v>
      </c>
      <c r="B596" s="300" t="s">
        <v>1118</v>
      </c>
      <c r="C596" s="235" t="n">
        <v>4.5</v>
      </c>
      <c r="D596" s="235" t="n">
        <v>7</v>
      </c>
      <c r="E596" s="235" t="n">
        <v>7.5</v>
      </c>
    </row>
    <row r="597" customFormat="false" ht="14.25" hidden="false" customHeight="true" outlineLevel="0" collapsed="false">
      <c r="A597" s="213" t="s">
        <v>1119</v>
      </c>
      <c r="B597" s="300" t="s">
        <v>1120</v>
      </c>
      <c r="C597" s="235" t="n">
        <v>17</v>
      </c>
      <c r="D597" s="235" t="n">
        <v>25</v>
      </c>
      <c r="E597" s="235" t="n">
        <v>28</v>
      </c>
    </row>
    <row r="598" customFormat="false" ht="14.25" hidden="false" customHeight="true" outlineLevel="0" collapsed="false"/>
    <row r="599" customFormat="false" ht="14.25" hidden="false" customHeight="true" outlineLevel="0" collapsed="false">
      <c r="A599" s="296" t="s">
        <v>1121</v>
      </c>
      <c r="B599" s="297" t="s">
        <v>772</v>
      </c>
      <c r="C599" s="297" t="s">
        <v>138</v>
      </c>
      <c r="D599" s="297" t="s">
        <v>27</v>
      </c>
      <c r="E599" s="297" t="s">
        <v>81</v>
      </c>
      <c r="F599" s="297"/>
    </row>
    <row r="600" customFormat="false" ht="14.25" hidden="false" customHeight="true" outlineLevel="0" collapsed="false">
      <c r="A600" s="213" t="s">
        <v>1122</v>
      </c>
      <c r="B600" s="300" t="s">
        <v>1123</v>
      </c>
      <c r="C600" s="235" t="n">
        <v>26</v>
      </c>
      <c r="D600" s="235" t="n">
        <v>38</v>
      </c>
      <c r="E600" s="235" t="n">
        <v>42</v>
      </c>
    </row>
    <row r="601" customFormat="false" ht="14.25" hidden="false" customHeight="true" outlineLevel="0" collapsed="false">
      <c r="A601" s="213" t="s">
        <v>1124</v>
      </c>
      <c r="B601" s="300" t="s">
        <v>1125</v>
      </c>
      <c r="C601" s="235" t="n">
        <v>8</v>
      </c>
      <c r="D601" s="235" t="n">
        <v>12</v>
      </c>
      <c r="E601" s="235" t="n">
        <v>13</v>
      </c>
    </row>
    <row r="602" customFormat="false" ht="14.25" hidden="false" customHeight="true" outlineLevel="0" collapsed="false">
      <c r="A602" s="213" t="s">
        <v>1126</v>
      </c>
      <c r="B602" s="300" t="s">
        <v>1127</v>
      </c>
      <c r="C602" s="235" t="n">
        <v>14</v>
      </c>
      <c r="D602" s="235" t="n">
        <v>22</v>
      </c>
      <c r="E602" s="235" t="n">
        <v>24.5</v>
      </c>
    </row>
    <row r="603" customFormat="false" ht="14.25" hidden="false" customHeight="true" outlineLevel="0" collapsed="false">
      <c r="A603" s="213" t="s">
        <v>1128</v>
      </c>
      <c r="B603" s="300" t="s">
        <v>1129</v>
      </c>
      <c r="C603" s="235" t="n">
        <v>14</v>
      </c>
      <c r="D603" s="235" t="n">
        <v>22</v>
      </c>
      <c r="E603" s="235" t="n">
        <v>24.5</v>
      </c>
    </row>
    <row r="604" customFormat="false" ht="14.25" hidden="false" customHeight="true" outlineLevel="0" collapsed="false">
      <c r="A604" s="213" t="s">
        <v>1130</v>
      </c>
      <c r="B604" s="300" t="s">
        <v>1131</v>
      </c>
      <c r="C604" s="235" t="n">
        <v>40</v>
      </c>
      <c r="D604" s="235" t="n">
        <v>60</v>
      </c>
      <c r="E604" s="235" t="n">
        <v>66</v>
      </c>
    </row>
    <row r="605" customFormat="false" ht="14.25" hidden="false" customHeight="true" outlineLevel="0" collapsed="false">
      <c r="A605" s="213" t="s">
        <v>1132</v>
      </c>
      <c r="B605" s="300" t="s">
        <v>1133</v>
      </c>
      <c r="C605" s="235" t="n">
        <v>40</v>
      </c>
      <c r="D605" s="235" t="n">
        <v>60</v>
      </c>
      <c r="E605" s="235" t="n">
        <v>66</v>
      </c>
    </row>
    <row r="606" customFormat="false" ht="14.25" hidden="false" customHeight="true" outlineLevel="0" collapsed="false">
      <c r="A606" s="213" t="s">
        <v>1134</v>
      </c>
      <c r="B606" s="300" t="s">
        <v>1135</v>
      </c>
      <c r="C606" s="235" t="n">
        <v>18</v>
      </c>
      <c r="D606" s="235" t="n">
        <v>26.5</v>
      </c>
      <c r="E606" s="235" t="n">
        <v>30</v>
      </c>
    </row>
    <row r="607" customFormat="false" ht="14.25" hidden="false" customHeight="true" outlineLevel="0" collapsed="false">
      <c r="A607" s="213" t="s">
        <v>1136</v>
      </c>
      <c r="B607" s="300" t="s">
        <v>1137</v>
      </c>
      <c r="C607" s="235" t="n">
        <v>18</v>
      </c>
      <c r="D607" s="235" t="n">
        <v>26.5</v>
      </c>
      <c r="E607" s="235" t="n">
        <v>30</v>
      </c>
    </row>
    <row r="608" customFormat="false" ht="14.25" hidden="false" customHeight="true" outlineLevel="0" collapsed="false">
      <c r="A608" s="213" t="s">
        <v>1138</v>
      </c>
      <c r="B608" s="300" t="s">
        <v>1139</v>
      </c>
      <c r="C608" s="235" t="n">
        <v>8.25</v>
      </c>
      <c r="D608" s="235" t="n">
        <v>12.5</v>
      </c>
      <c r="E608" s="235" t="n">
        <v>13.5</v>
      </c>
    </row>
    <row r="609" customFormat="false" ht="14.25" hidden="false" customHeight="true" outlineLevel="0" collapsed="false">
      <c r="A609" s="213" t="s">
        <v>1140</v>
      </c>
      <c r="B609" s="300" t="s">
        <v>1141</v>
      </c>
      <c r="C609" s="235" t="n">
        <v>8.25</v>
      </c>
      <c r="D609" s="235" t="n">
        <v>12.5</v>
      </c>
      <c r="E609" s="235" t="n">
        <v>13.5</v>
      </c>
    </row>
    <row r="610" customFormat="false" ht="14.25" hidden="false" customHeight="true" outlineLevel="0" collapsed="false">
      <c r="A610" s="213" t="s">
        <v>1142</v>
      </c>
      <c r="B610" s="300" t="s">
        <v>1143</v>
      </c>
      <c r="C610" s="235" t="n">
        <v>13.75</v>
      </c>
      <c r="D610" s="235" t="n">
        <v>20.5</v>
      </c>
      <c r="E610" s="235" t="n">
        <v>22</v>
      </c>
    </row>
    <row r="611" customFormat="false" ht="14.25" hidden="false" customHeight="true" outlineLevel="0" collapsed="false"/>
    <row r="612" customFormat="false" ht="14.25" hidden="false" customHeight="true" outlineLevel="0" collapsed="false"/>
    <row r="613" customFormat="false" ht="21" hidden="false" customHeight="true" outlineLevel="0" collapsed="false">
      <c r="A613" s="301" t="s">
        <v>1144</v>
      </c>
      <c r="B613" s="302" t="s">
        <v>1145</v>
      </c>
      <c r="C613" s="303"/>
      <c r="D613" s="303"/>
      <c r="E613" s="303"/>
      <c r="F613" s="303"/>
    </row>
    <row r="614" customFormat="false" ht="14.25" hidden="false" customHeight="true" outlineLevel="0" collapsed="false">
      <c r="A614" s="304" t="s">
        <v>1146</v>
      </c>
      <c r="B614" s="303"/>
      <c r="C614" s="303"/>
      <c r="D614" s="303"/>
      <c r="E614" s="303"/>
      <c r="F614" s="303"/>
    </row>
    <row r="616" customFormat="false" ht="14.25" hidden="false" customHeight="true" outlineLevel="0" collapsed="false">
      <c r="A616" s="305" t="s">
        <v>1147</v>
      </c>
      <c r="B616" s="175" t="s">
        <v>772</v>
      </c>
      <c r="C616" s="175" t="s">
        <v>138</v>
      </c>
      <c r="D616" s="175" t="s">
        <v>27</v>
      </c>
      <c r="E616" s="175" t="s">
        <v>81</v>
      </c>
      <c r="F616" s="175"/>
    </row>
    <row r="617" customFormat="false" ht="14.25" hidden="false" customHeight="true" outlineLevel="0" collapsed="false">
      <c r="A617" s="213" t="s">
        <v>1148</v>
      </c>
      <c r="B617" s="300" t="s">
        <v>1149</v>
      </c>
      <c r="C617" s="235" t="n">
        <v>163</v>
      </c>
      <c r="D617" s="235" t="n">
        <v>210</v>
      </c>
      <c r="E617" s="235" t="n">
        <v>233</v>
      </c>
    </row>
    <row r="618" customFormat="false" ht="14.25" hidden="false" customHeight="true" outlineLevel="0" collapsed="false">
      <c r="A618" s="213" t="s">
        <v>1150</v>
      </c>
      <c r="B618" s="300" t="s">
        <v>1151</v>
      </c>
      <c r="C618" s="235" t="n">
        <v>167</v>
      </c>
      <c r="D618" s="235" t="n">
        <v>214</v>
      </c>
      <c r="E618" s="235" t="n">
        <v>238</v>
      </c>
    </row>
    <row r="619" customFormat="false" ht="14.25" hidden="false" customHeight="true" outlineLevel="0" collapsed="false">
      <c r="A619" s="213" t="s">
        <v>1152</v>
      </c>
      <c r="B619" s="300" t="s">
        <v>1153</v>
      </c>
      <c r="C619" s="235" t="n">
        <v>167</v>
      </c>
      <c r="D619" s="235" t="n">
        <v>214</v>
      </c>
      <c r="E619" s="235" t="n">
        <v>238</v>
      </c>
    </row>
    <row r="620" customFormat="false" ht="14.25" hidden="false" customHeight="true" outlineLevel="0" collapsed="false">
      <c r="A620" s="213" t="s">
        <v>1154</v>
      </c>
      <c r="B620" s="300" t="s">
        <v>1155</v>
      </c>
      <c r="C620" s="235" t="n">
        <v>167</v>
      </c>
      <c r="D620" s="235" t="n">
        <v>214</v>
      </c>
      <c r="E620" s="235" t="n">
        <v>238</v>
      </c>
    </row>
    <row r="621" customFormat="false" ht="14.25" hidden="false" customHeight="true" outlineLevel="0" collapsed="false">
      <c r="A621" s="213" t="s">
        <v>1156</v>
      </c>
      <c r="B621" s="300" t="s">
        <v>1157</v>
      </c>
      <c r="C621" s="235" t="n">
        <v>163</v>
      </c>
      <c r="D621" s="235" t="n">
        <v>210</v>
      </c>
      <c r="E621" s="235" t="n">
        <v>233</v>
      </c>
    </row>
    <row r="622" customFormat="false" ht="14.25" hidden="false" customHeight="true" outlineLevel="0" collapsed="false">
      <c r="A622" s="213" t="s">
        <v>1158</v>
      </c>
      <c r="B622" s="300" t="s">
        <v>1159</v>
      </c>
      <c r="C622" s="235" t="n">
        <v>167</v>
      </c>
      <c r="D622" s="235" t="n">
        <v>214</v>
      </c>
      <c r="E622" s="235" t="n">
        <v>238</v>
      </c>
    </row>
    <row r="623" customFormat="false" ht="14.25" hidden="false" customHeight="true" outlineLevel="0" collapsed="false">
      <c r="A623" s="213" t="s">
        <v>1160</v>
      </c>
      <c r="B623" s="300" t="s">
        <v>1161</v>
      </c>
      <c r="C623" s="235" t="n">
        <v>163</v>
      </c>
      <c r="D623" s="235" t="n">
        <v>210</v>
      </c>
      <c r="E623" s="235" t="n">
        <v>233</v>
      </c>
    </row>
    <row r="624" customFormat="false" ht="14.25" hidden="false" customHeight="true" outlineLevel="0" collapsed="false">
      <c r="A624" s="213" t="s">
        <v>1162</v>
      </c>
      <c r="B624" s="300" t="s">
        <v>1163</v>
      </c>
      <c r="C624" s="235" t="n">
        <v>167</v>
      </c>
      <c r="D624" s="235" t="n">
        <v>214</v>
      </c>
      <c r="E624" s="235" t="n">
        <v>238</v>
      </c>
    </row>
    <row r="625" customFormat="false" ht="14.25" hidden="false" customHeight="true" outlineLevel="0" collapsed="false">
      <c r="A625" s="213" t="s">
        <v>1164</v>
      </c>
      <c r="B625" s="300" t="s">
        <v>1165</v>
      </c>
      <c r="C625" s="235" t="n">
        <v>26</v>
      </c>
      <c r="D625" s="235" t="n">
        <v>32</v>
      </c>
      <c r="E625" s="235" t="n">
        <v>36</v>
      </c>
    </row>
    <row r="626" customFormat="false" ht="14.25" hidden="false" customHeight="true" outlineLevel="0" collapsed="false">
      <c r="A626" s="213" t="s">
        <v>1166</v>
      </c>
      <c r="B626" s="300" t="s">
        <v>1167</v>
      </c>
      <c r="C626" s="235" t="n">
        <v>26</v>
      </c>
      <c r="D626" s="235" t="n">
        <v>32</v>
      </c>
      <c r="E626" s="235" t="n">
        <v>36</v>
      </c>
    </row>
    <row r="627" customFormat="false" ht="14.25" hidden="false" customHeight="true" outlineLevel="0" collapsed="false">
      <c r="A627" s="213" t="s">
        <v>1168</v>
      </c>
      <c r="B627" s="300" t="s">
        <v>1169</v>
      </c>
      <c r="C627" s="235" t="n">
        <v>26</v>
      </c>
      <c r="D627" s="235" t="n">
        <v>32</v>
      </c>
      <c r="E627" s="235" t="n">
        <v>36</v>
      </c>
    </row>
    <row r="628" customFormat="false" ht="14.25" hidden="false" customHeight="true" outlineLevel="0" collapsed="false">
      <c r="A628" s="213" t="s">
        <v>1170</v>
      </c>
      <c r="B628" s="300" t="s">
        <v>1171</v>
      </c>
      <c r="C628" s="235" t="n">
        <v>26</v>
      </c>
      <c r="D628" s="235" t="n">
        <v>32</v>
      </c>
      <c r="E628" s="235" t="n">
        <v>36</v>
      </c>
    </row>
    <row r="629" customFormat="false" ht="14.25" hidden="false" customHeight="true" outlineLevel="0" collapsed="false">
      <c r="A629" s="213" t="s">
        <v>1172</v>
      </c>
      <c r="B629" s="300" t="s">
        <v>1173</v>
      </c>
      <c r="C629" s="235" t="n">
        <v>26</v>
      </c>
      <c r="D629" s="235" t="n">
        <v>32</v>
      </c>
      <c r="E629" s="235" t="n">
        <v>36</v>
      </c>
    </row>
    <row r="630" customFormat="false" ht="14.25" hidden="false" customHeight="true" outlineLevel="0" collapsed="false">
      <c r="A630" s="213" t="s">
        <v>1174</v>
      </c>
      <c r="B630" s="300" t="s">
        <v>1175</v>
      </c>
      <c r="C630" s="235" t="n">
        <v>175</v>
      </c>
      <c r="D630" s="306"/>
      <c r="E630" s="306"/>
    </row>
    <row r="632" customFormat="false" ht="14.25" hidden="false" customHeight="true" outlineLevel="0" collapsed="false">
      <c r="A632" s="305" t="s">
        <v>1176</v>
      </c>
      <c r="B632" s="175" t="s">
        <v>772</v>
      </c>
      <c r="C632" s="175" t="s">
        <v>138</v>
      </c>
      <c r="D632" s="175" t="s">
        <v>27</v>
      </c>
      <c r="E632" s="175" t="s">
        <v>81</v>
      </c>
      <c r="F632" s="175"/>
    </row>
    <row r="633" customFormat="false" ht="14.25" hidden="false" customHeight="true" outlineLevel="0" collapsed="false">
      <c r="A633" s="213" t="s">
        <v>1177</v>
      </c>
      <c r="B633" s="300" t="s">
        <v>1178</v>
      </c>
      <c r="C633" s="235" t="n">
        <v>170</v>
      </c>
      <c r="D633" s="235" t="n">
        <v>220</v>
      </c>
      <c r="E633" s="235" t="n">
        <v>244</v>
      </c>
    </row>
    <row r="634" customFormat="false" ht="14.25" hidden="false" customHeight="true" outlineLevel="0" collapsed="false">
      <c r="A634" s="213" t="s">
        <v>1179</v>
      </c>
      <c r="B634" s="300" t="s">
        <v>1180</v>
      </c>
      <c r="C634" s="235" t="n">
        <v>166</v>
      </c>
      <c r="D634" s="235" t="n">
        <v>214</v>
      </c>
      <c r="E634" s="235" t="n">
        <v>237</v>
      </c>
    </row>
    <row r="635" customFormat="false" ht="14.25" hidden="false" customHeight="true" outlineLevel="0" collapsed="false">
      <c r="A635" s="213" t="s">
        <v>1181</v>
      </c>
      <c r="B635" s="300" t="s">
        <v>1182</v>
      </c>
      <c r="C635" s="235" t="n">
        <v>170</v>
      </c>
      <c r="D635" s="235" t="n">
        <v>218</v>
      </c>
      <c r="E635" s="235" t="n">
        <v>243</v>
      </c>
    </row>
    <row r="636" customFormat="false" ht="14.25" hidden="false" customHeight="true" outlineLevel="0" collapsed="false">
      <c r="A636" s="213" t="s">
        <v>1183</v>
      </c>
      <c r="B636" s="300" t="s">
        <v>1184</v>
      </c>
      <c r="C636" s="235" t="n">
        <v>170</v>
      </c>
      <c r="D636" s="235" t="n">
        <v>220</v>
      </c>
      <c r="E636" s="235" t="n">
        <v>244</v>
      </c>
    </row>
    <row r="637" customFormat="false" ht="14.25" hidden="false" customHeight="true" outlineLevel="0" collapsed="false">
      <c r="A637" s="213" t="s">
        <v>1185</v>
      </c>
      <c r="B637" s="300" t="s">
        <v>1186</v>
      </c>
      <c r="C637" s="235" t="n">
        <v>166</v>
      </c>
      <c r="D637" s="235" t="n">
        <v>214</v>
      </c>
      <c r="E637" s="235" t="n">
        <v>237</v>
      </c>
    </row>
    <row r="638" customFormat="false" ht="14.25" hidden="false" customHeight="true" outlineLevel="0" collapsed="false">
      <c r="A638" s="213" t="s">
        <v>1187</v>
      </c>
      <c r="B638" s="300" t="s">
        <v>1182</v>
      </c>
      <c r="C638" s="235" t="n">
        <v>170</v>
      </c>
      <c r="D638" s="235" t="n">
        <v>218</v>
      </c>
      <c r="E638" s="235" t="n">
        <v>243</v>
      </c>
    </row>
    <row r="639" customFormat="false" ht="14.25" hidden="false" customHeight="true" outlineLevel="0" collapsed="false">
      <c r="A639" s="213" t="s">
        <v>1188</v>
      </c>
      <c r="B639" s="300" t="s">
        <v>1189</v>
      </c>
      <c r="C639" s="235" t="n">
        <v>170</v>
      </c>
      <c r="D639" s="235" t="n">
        <v>220</v>
      </c>
      <c r="E639" s="235" t="n">
        <v>244</v>
      </c>
    </row>
    <row r="640" customFormat="false" ht="14.25" hidden="false" customHeight="true" outlineLevel="0" collapsed="false">
      <c r="A640" s="213" t="s">
        <v>1190</v>
      </c>
      <c r="B640" s="300" t="s">
        <v>1191</v>
      </c>
      <c r="C640" s="235" t="n">
        <v>166</v>
      </c>
      <c r="D640" s="235" t="n">
        <v>214</v>
      </c>
      <c r="E640" s="235" t="n">
        <v>237</v>
      </c>
    </row>
    <row r="642" customFormat="false" ht="14.25" hidden="false" customHeight="true" outlineLevel="0" collapsed="false">
      <c r="A642" s="305" t="s">
        <v>1192</v>
      </c>
      <c r="B642" s="175" t="s">
        <v>772</v>
      </c>
      <c r="C642" s="175" t="s">
        <v>138</v>
      </c>
      <c r="D642" s="175" t="s">
        <v>27</v>
      </c>
      <c r="E642" s="175" t="s">
        <v>81</v>
      </c>
      <c r="F642" s="175"/>
    </row>
    <row r="643" customFormat="false" ht="14.25" hidden="false" customHeight="true" outlineLevel="0" collapsed="false">
      <c r="A643" s="213" t="s">
        <v>1193</v>
      </c>
      <c r="B643" s="300" t="s">
        <v>1194</v>
      </c>
      <c r="C643" s="235" t="n">
        <v>163</v>
      </c>
      <c r="D643" s="235" t="n">
        <v>209</v>
      </c>
      <c r="E643" s="235" t="n">
        <v>233</v>
      </c>
    </row>
    <row r="644" customFormat="false" ht="14.25" hidden="false" customHeight="true" outlineLevel="0" collapsed="false">
      <c r="A644" s="213" t="s">
        <v>1195</v>
      </c>
      <c r="B644" s="300" t="s">
        <v>1196</v>
      </c>
      <c r="C644" s="235" t="n">
        <v>163</v>
      </c>
      <c r="D644" s="235" t="n">
        <v>209</v>
      </c>
      <c r="E644" s="235" t="n">
        <v>233</v>
      </c>
    </row>
    <row r="645" customFormat="false" ht="14.25" hidden="false" customHeight="true" outlineLevel="0" collapsed="false">
      <c r="A645" s="213" t="s">
        <v>1197</v>
      </c>
      <c r="B645" s="300" t="s">
        <v>1198</v>
      </c>
      <c r="C645" s="235" t="n">
        <v>163</v>
      </c>
      <c r="D645" s="235" t="n">
        <v>209</v>
      </c>
      <c r="E645" s="235" t="n">
        <v>233</v>
      </c>
    </row>
    <row r="646" customFormat="false" ht="14.25" hidden="false" customHeight="true" outlineLevel="0" collapsed="false">
      <c r="A646" s="213" t="s">
        <v>1199</v>
      </c>
      <c r="B646" s="300" t="s">
        <v>1200</v>
      </c>
      <c r="C646" s="235" t="n">
        <v>163</v>
      </c>
      <c r="D646" s="235" t="n">
        <v>209</v>
      </c>
      <c r="E646" s="235" t="n">
        <v>233</v>
      </c>
    </row>
    <row r="647" customFormat="false" ht="14.25" hidden="false" customHeight="true" outlineLevel="0" collapsed="false">
      <c r="A647" s="213" t="s">
        <v>1201</v>
      </c>
      <c r="B647" s="300" t="s">
        <v>1202</v>
      </c>
      <c r="C647" s="235" t="n">
        <v>163</v>
      </c>
      <c r="D647" s="235" t="n">
        <v>209</v>
      </c>
      <c r="E647" s="235" t="n">
        <v>233</v>
      </c>
    </row>
    <row r="648" customFormat="false" ht="14.25" hidden="false" customHeight="true" outlineLevel="0" collapsed="false">
      <c r="A648" s="213" t="s">
        <v>1203</v>
      </c>
      <c r="B648" s="300" t="s">
        <v>1204</v>
      </c>
      <c r="C648" s="235" t="n">
        <v>163</v>
      </c>
      <c r="D648" s="235" t="n">
        <v>209</v>
      </c>
      <c r="E648" s="235" t="n">
        <v>233</v>
      </c>
    </row>
    <row r="649" customFormat="false" ht="14.25" hidden="false" customHeight="true" outlineLevel="0" collapsed="false">
      <c r="A649" s="213" t="s">
        <v>1205</v>
      </c>
      <c r="B649" s="300" t="s">
        <v>1206</v>
      </c>
      <c r="C649" s="235" t="n">
        <v>163</v>
      </c>
      <c r="D649" s="235" t="n">
        <v>209</v>
      </c>
      <c r="E649" s="235" t="n">
        <v>233</v>
      </c>
    </row>
    <row r="650" customFormat="false" ht="14.25" hidden="false" customHeight="true" outlineLevel="0" collapsed="false">
      <c r="A650" s="213" t="s">
        <v>1207</v>
      </c>
      <c r="B650" s="300" t="s">
        <v>1208</v>
      </c>
      <c r="C650" s="235" t="n">
        <v>163</v>
      </c>
      <c r="D650" s="235" t="n">
        <v>209</v>
      </c>
      <c r="E650" s="235" t="n">
        <v>233</v>
      </c>
    </row>
    <row r="651" customFormat="false" ht="14.25" hidden="false" customHeight="true" outlineLevel="0" collapsed="false">
      <c r="A651" s="213" t="s">
        <v>1209</v>
      </c>
      <c r="B651" s="300" t="s">
        <v>1210</v>
      </c>
      <c r="C651" s="235" t="n">
        <v>163</v>
      </c>
      <c r="D651" s="235" t="n">
        <v>209</v>
      </c>
      <c r="E651" s="235" t="n">
        <v>233</v>
      </c>
    </row>
    <row r="652" customFormat="false" ht="14.25" hidden="false" customHeight="true" outlineLevel="0" collapsed="false">
      <c r="A652" s="213" t="s">
        <v>1211</v>
      </c>
      <c r="B652" s="300" t="s">
        <v>1212</v>
      </c>
      <c r="C652" s="235" t="n">
        <v>163</v>
      </c>
      <c r="D652" s="235" t="n">
        <v>209</v>
      </c>
      <c r="E652" s="235" t="n">
        <v>233</v>
      </c>
    </row>
    <row r="653" customFormat="false" ht="14.25" hidden="false" customHeight="true" outlineLevel="0" collapsed="false">
      <c r="A653" s="213" t="s">
        <v>1213</v>
      </c>
      <c r="B653" s="300" t="s">
        <v>1214</v>
      </c>
      <c r="C653" s="235" t="n">
        <v>163</v>
      </c>
      <c r="D653" s="235" t="n">
        <v>209</v>
      </c>
      <c r="E653" s="235" t="n">
        <v>233</v>
      </c>
    </row>
    <row r="654" customFormat="false" ht="14.25" hidden="false" customHeight="true" outlineLevel="0" collapsed="false">
      <c r="A654" s="213" t="s">
        <v>1215</v>
      </c>
      <c r="B654" s="300" t="s">
        <v>1216</v>
      </c>
      <c r="C654" s="235" t="n">
        <v>24</v>
      </c>
      <c r="D654" s="235" t="n">
        <v>31</v>
      </c>
      <c r="E654" s="235" t="n">
        <v>35</v>
      </c>
    </row>
    <row r="656" customFormat="false" ht="14.25" hidden="false" customHeight="true" outlineLevel="0" collapsed="false">
      <c r="A656" s="305" t="s">
        <v>1217</v>
      </c>
      <c r="B656" s="175" t="s">
        <v>772</v>
      </c>
      <c r="C656" s="175" t="s">
        <v>138</v>
      </c>
      <c r="D656" s="175" t="s">
        <v>27</v>
      </c>
      <c r="E656" s="175" t="s">
        <v>81</v>
      </c>
      <c r="F656" s="175"/>
    </row>
    <row r="657" customFormat="false" ht="14.25" hidden="false" customHeight="true" outlineLevel="0" collapsed="false">
      <c r="A657" s="213" t="s">
        <v>1218</v>
      </c>
      <c r="B657" s="300" t="s">
        <v>1219</v>
      </c>
      <c r="C657" s="235" t="n">
        <v>91</v>
      </c>
      <c r="D657" s="235" t="n">
        <v>117</v>
      </c>
      <c r="E657" s="235" t="n">
        <v>130</v>
      </c>
    </row>
    <row r="658" customFormat="false" ht="14.25" hidden="false" customHeight="true" outlineLevel="0" collapsed="false">
      <c r="A658" s="213" t="s">
        <v>1220</v>
      </c>
      <c r="B658" s="300" t="s">
        <v>1221</v>
      </c>
      <c r="C658" s="235" t="n">
        <v>91</v>
      </c>
      <c r="D658" s="235" t="n">
        <v>117</v>
      </c>
      <c r="E658" s="235" t="n">
        <v>130</v>
      </c>
    </row>
    <row r="659" customFormat="false" ht="14.25" hidden="false" customHeight="true" outlineLevel="0" collapsed="false">
      <c r="A659" s="213" t="s">
        <v>1222</v>
      </c>
      <c r="B659" s="300" t="s">
        <v>1223</v>
      </c>
      <c r="C659" s="235" t="n">
        <v>91</v>
      </c>
      <c r="D659" s="235" t="n">
        <v>117</v>
      </c>
      <c r="E659" s="235" t="n">
        <v>130</v>
      </c>
    </row>
    <row r="660" customFormat="false" ht="14.25" hidden="false" customHeight="true" outlineLevel="0" collapsed="false">
      <c r="A660" s="213" t="s">
        <v>1224</v>
      </c>
      <c r="B660" s="300" t="s">
        <v>1225</v>
      </c>
      <c r="C660" s="235" t="n">
        <v>98</v>
      </c>
      <c r="D660" s="235" t="n">
        <v>126</v>
      </c>
      <c r="E660" s="235" t="n">
        <v>140</v>
      </c>
    </row>
    <row r="661" customFormat="false" ht="14.25" hidden="false" customHeight="true" outlineLevel="0" collapsed="false">
      <c r="A661" s="213" t="s">
        <v>1226</v>
      </c>
      <c r="B661" s="300" t="s">
        <v>1227</v>
      </c>
      <c r="C661" s="235" t="n">
        <v>98</v>
      </c>
      <c r="D661" s="235" t="n">
        <v>126</v>
      </c>
      <c r="E661" s="235" t="n">
        <v>140</v>
      </c>
    </row>
    <row r="662" customFormat="false" ht="14.25" hidden="false" customHeight="true" outlineLevel="0" collapsed="false">
      <c r="A662" s="213" t="s">
        <v>1228</v>
      </c>
      <c r="B662" s="300" t="s">
        <v>1229</v>
      </c>
      <c r="C662" s="235" t="n">
        <v>91</v>
      </c>
      <c r="D662" s="235" t="n">
        <v>117</v>
      </c>
      <c r="E662" s="235" t="n">
        <v>130</v>
      </c>
    </row>
    <row r="663" customFormat="false" ht="14.25" hidden="false" customHeight="true" outlineLevel="0" collapsed="false">
      <c r="A663" s="213" t="s">
        <v>1230</v>
      </c>
      <c r="B663" s="300" t="s">
        <v>1231</v>
      </c>
      <c r="C663" s="235" t="n">
        <v>91</v>
      </c>
      <c r="D663" s="235" t="n">
        <v>117</v>
      </c>
      <c r="E663" s="235" t="n">
        <v>130</v>
      </c>
    </row>
    <row r="664" customFormat="false" ht="14.25" hidden="false" customHeight="true" outlineLevel="0" collapsed="false">
      <c r="A664" s="213" t="s">
        <v>1232</v>
      </c>
      <c r="B664" s="300" t="s">
        <v>1233</v>
      </c>
      <c r="C664" s="235" t="n">
        <v>91</v>
      </c>
      <c r="D664" s="235" t="n">
        <v>117</v>
      </c>
      <c r="E664" s="235" t="n">
        <v>130</v>
      </c>
    </row>
    <row r="665" customFormat="false" ht="14.25" hidden="false" customHeight="true" outlineLevel="0" collapsed="false">
      <c r="A665" s="213" t="s">
        <v>1234</v>
      </c>
      <c r="B665" s="300" t="s">
        <v>1235</v>
      </c>
      <c r="C665" s="235" t="n">
        <v>91</v>
      </c>
      <c r="D665" s="235" t="n">
        <v>117</v>
      </c>
      <c r="E665" s="235" t="n">
        <v>130</v>
      </c>
    </row>
    <row r="666" customFormat="false" ht="14.25" hidden="false" customHeight="true" outlineLevel="0" collapsed="false">
      <c r="A666" s="213" t="s">
        <v>1236</v>
      </c>
      <c r="B666" s="300" t="s">
        <v>1237</v>
      </c>
      <c r="C666" s="235" t="n">
        <v>91</v>
      </c>
      <c r="D666" s="235" t="n">
        <v>117</v>
      </c>
      <c r="E666" s="235" t="n">
        <v>130</v>
      </c>
    </row>
    <row r="667" customFormat="false" ht="14.25" hidden="false" customHeight="true" outlineLevel="0" collapsed="false">
      <c r="A667" s="213" t="s">
        <v>1238</v>
      </c>
      <c r="B667" s="300" t="s">
        <v>1239</v>
      </c>
      <c r="C667" s="235" t="n">
        <v>91</v>
      </c>
      <c r="D667" s="235" t="n">
        <v>117</v>
      </c>
      <c r="E667" s="235" t="n">
        <v>130</v>
      </c>
    </row>
    <row r="668" customFormat="false" ht="14.25" hidden="false" customHeight="true" outlineLevel="0" collapsed="false">
      <c r="A668" s="213" t="s">
        <v>1240</v>
      </c>
      <c r="B668" s="300" t="s">
        <v>1241</v>
      </c>
      <c r="C668" s="235" t="n">
        <v>91</v>
      </c>
      <c r="D668" s="235" t="n">
        <v>117</v>
      </c>
      <c r="E668" s="235" t="n">
        <v>130</v>
      </c>
    </row>
    <row r="669" customFormat="false" ht="14.25" hidden="false" customHeight="true" outlineLevel="0" collapsed="false">
      <c r="A669" s="213" t="s">
        <v>1242</v>
      </c>
      <c r="B669" s="300" t="s">
        <v>1243</v>
      </c>
      <c r="C669" s="235" t="n">
        <v>98</v>
      </c>
      <c r="D669" s="235" t="n">
        <v>126</v>
      </c>
      <c r="E669" s="235" t="n">
        <v>140</v>
      </c>
    </row>
    <row r="670" customFormat="false" ht="14.25" hidden="false" customHeight="true" outlineLevel="0" collapsed="false">
      <c r="A670" s="213" t="s">
        <v>1244</v>
      </c>
      <c r="B670" s="300" t="s">
        <v>1245</v>
      </c>
      <c r="C670" s="235" t="n">
        <v>98</v>
      </c>
      <c r="D670" s="235" t="n">
        <v>126</v>
      </c>
      <c r="E670" s="235" t="n">
        <v>140</v>
      </c>
    </row>
    <row r="671" customFormat="false" ht="14.25" hidden="false" customHeight="true" outlineLevel="0" collapsed="false">
      <c r="A671" s="213" t="s">
        <v>1246</v>
      </c>
      <c r="B671" s="300" t="s">
        <v>1247</v>
      </c>
      <c r="C671" s="235" t="n">
        <v>98</v>
      </c>
      <c r="D671" s="235" t="n">
        <v>126</v>
      </c>
      <c r="E671" s="235" t="n">
        <v>140</v>
      </c>
    </row>
    <row r="672" customFormat="false" ht="14.25" hidden="false" customHeight="true" outlineLevel="0" collapsed="false">
      <c r="A672" s="213" t="s">
        <v>1248</v>
      </c>
      <c r="B672" s="300" t="s">
        <v>1249</v>
      </c>
      <c r="C672" s="235" t="n">
        <v>18</v>
      </c>
      <c r="D672" s="235" t="n">
        <v>20</v>
      </c>
      <c r="E672" s="235" t="n">
        <v>25</v>
      </c>
    </row>
    <row r="673" customFormat="false" ht="14.25" hidden="false" customHeight="true" outlineLevel="0" collapsed="false">
      <c r="A673" s="213" t="s">
        <v>1250</v>
      </c>
      <c r="B673" s="300" t="s">
        <v>1251</v>
      </c>
      <c r="C673" s="235" t="n">
        <v>35</v>
      </c>
      <c r="D673" s="235" t="n">
        <v>45</v>
      </c>
      <c r="E673" s="235" t="n">
        <v>50</v>
      </c>
    </row>
    <row r="675" customFormat="false" ht="14.25" hidden="false" customHeight="true" outlineLevel="0" collapsed="false">
      <c r="A675" s="305" t="s">
        <v>1252</v>
      </c>
      <c r="B675" s="175" t="s">
        <v>772</v>
      </c>
      <c r="C675" s="175" t="s">
        <v>138</v>
      </c>
      <c r="D675" s="175" t="s">
        <v>27</v>
      </c>
      <c r="E675" s="175" t="s">
        <v>81</v>
      </c>
      <c r="F675" s="175"/>
    </row>
    <row r="676" customFormat="false" ht="14.25" hidden="false" customHeight="true" outlineLevel="0" collapsed="false">
      <c r="A676" s="213" t="s">
        <v>1253</v>
      </c>
      <c r="B676" s="300" t="s">
        <v>1254</v>
      </c>
      <c r="C676" s="235" t="n">
        <v>133</v>
      </c>
      <c r="D676" s="235" t="n">
        <v>179</v>
      </c>
      <c r="E676" s="235" t="n">
        <v>190</v>
      </c>
    </row>
    <row r="677" customFormat="false" ht="14.25" hidden="false" customHeight="true" outlineLevel="0" collapsed="false">
      <c r="A677" s="213" t="s">
        <v>1255</v>
      </c>
      <c r="B677" s="300" t="s">
        <v>1256</v>
      </c>
      <c r="C677" s="235" t="n">
        <v>133</v>
      </c>
      <c r="D677" s="235" t="n">
        <v>179</v>
      </c>
      <c r="E677" s="235" t="n">
        <v>190</v>
      </c>
    </row>
    <row r="678" customFormat="false" ht="14.25" hidden="false" customHeight="true" outlineLevel="0" collapsed="false">
      <c r="A678" s="213" t="s">
        <v>1257</v>
      </c>
      <c r="B678" s="300" t="s">
        <v>1258</v>
      </c>
      <c r="C678" s="235" t="n">
        <v>133</v>
      </c>
      <c r="D678" s="235" t="n">
        <v>179</v>
      </c>
      <c r="E678" s="235" t="n">
        <v>190</v>
      </c>
    </row>
    <row r="679" customFormat="false" ht="14.25" hidden="false" customHeight="true" outlineLevel="0" collapsed="false">
      <c r="A679" s="213" t="s">
        <v>1259</v>
      </c>
      <c r="B679" s="300" t="s">
        <v>1260</v>
      </c>
      <c r="C679" s="235" t="n">
        <v>133</v>
      </c>
      <c r="D679" s="235" t="n">
        <v>179</v>
      </c>
      <c r="E679" s="235" t="n">
        <v>190</v>
      </c>
    </row>
    <row r="680" customFormat="false" ht="14.25" hidden="false" customHeight="true" outlineLevel="0" collapsed="false">
      <c r="A680" s="213" t="s">
        <v>1261</v>
      </c>
      <c r="B680" s="300" t="s">
        <v>1262</v>
      </c>
      <c r="C680" s="235" t="n">
        <v>133</v>
      </c>
      <c r="D680" s="235" t="n">
        <v>179</v>
      </c>
      <c r="E680" s="235" t="n">
        <v>190</v>
      </c>
    </row>
    <row r="681" customFormat="false" ht="14.25" hidden="false" customHeight="true" outlineLevel="0" collapsed="false">
      <c r="A681" s="213" t="s">
        <v>1263</v>
      </c>
      <c r="B681" s="300" t="s">
        <v>1264</v>
      </c>
      <c r="C681" s="235" t="n">
        <v>133</v>
      </c>
      <c r="D681" s="235" t="n">
        <v>179</v>
      </c>
      <c r="E681" s="235" t="n">
        <v>190</v>
      </c>
    </row>
    <row r="682" customFormat="false" ht="14.25" hidden="false" customHeight="true" outlineLevel="0" collapsed="false">
      <c r="A682" s="213" t="s">
        <v>1265</v>
      </c>
      <c r="B682" s="300" t="s">
        <v>1266</v>
      </c>
      <c r="C682" s="235" t="n">
        <v>133</v>
      </c>
      <c r="D682" s="235" t="n">
        <v>179</v>
      </c>
      <c r="E682" s="235" t="n">
        <v>190</v>
      </c>
    </row>
    <row r="683" customFormat="false" ht="14.25" hidden="false" customHeight="true" outlineLevel="0" collapsed="false">
      <c r="A683" s="213" t="s">
        <v>1267</v>
      </c>
      <c r="B683" s="300" t="s">
        <v>1268</v>
      </c>
      <c r="C683" s="235" t="n">
        <v>133</v>
      </c>
      <c r="D683" s="235" t="n">
        <v>179</v>
      </c>
      <c r="E683" s="235" t="n">
        <v>190</v>
      </c>
    </row>
    <row r="684" customFormat="false" ht="14.25" hidden="false" customHeight="true" outlineLevel="0" collapsed="false">
      <c r="A684" s="213" t="s">
        <v>1269</v>
      </c>
      <c r="B684" s="300" t="s">
        <v>1270</v>
      </c>
      <c r="C684" s="235" t="n">
        <v>133</v>
      </c>
      <c r="D684" s="235" t="n">
        <v>179</v>
      </c>
      <c r="E684" s="235" t="n">
        <v>190</v>
      </c>
    </row>
    <row r="685" customFormat="false" ht="14.25" hidden="false" customHeight="true" outlineLevel="0" collapsed="false">
      <c r="A685" s="213" t="s">
        <v>1271</v>
      </c>
      <c r="B685" s="300" t="s">
        <v>1272</v>
      </c>
      <c r="C685" s="235" t="n">
        <v>133</v>
      </c>
      <c r="D685" s="235" t="n">
        <v>179</v>
      </c>
      <c r="E685" s="235" t="n">
        <v>190</v>
      </c>
    </row>
    <row r="686" customFormat="false" ht="14.25" hidden="false" customHeight="true" outlineLevel="0" collapsed="false">
      <c r="A686" s="213" t="s">
        <v>1273</v>
      </c>
      <c r="B686" s="300" t="s">
        <v>1274</v>
      </c>
      <c r="C686" s="235" t="n">
        <v>133</v>
      </c>
      <c r="D686" s="235" t="n">
        <v>179</v>
      </c>
      <c r="E686" s="235" t="n">
        <v>190</v>
      </c>
    </row>
    <row r="687" customFormat="false" ht="14.25" hidden="false" customHeight="true" outlineLevel="0" collapsed="false">
      <c r="A687" s="213" t="s">
        <v>1275</v>
      </c>
      <c r="B687" s="300" t="s">
        <v>1276</v>
      </c>
      <c r="C687" s="235" t="n">
        <v>138</v>
      </c>
      <c r="D687" s="235" t="n">
        <v>186</v>
      </c>
      <c r="E687" s="235" t="n">
        <v>196</v>
      </c>
    </row>
    <row r="688" customFormat="false" ht="14.25" hidden="false" customHeight="true" outlineLevel="0" collapsed="false">
      <c r="A688" s="213" t="s">
        <v>1277</v>
      </c>
      <c r="B688" s="300" t="s">
        <v>1278</v>
      </c>
      <c r="C688" s="235" t="n">
        <v>138</v>
      </c>
      <c r="D688" s="235" t="n">
        <v>186</v>
      </c>
      <c r="E688" s="235" t="n">
        <v>196</v>
      </c>
    </row>
    <row r="689" customFormat="false" ht="14.25" hidden="false" customHeight="true" outlineLevel="0" collapsed="false">
      <c r="A689" s="213" t="s">
        <v>1279</v>
      </c>
      <c r="B689" s="300" t="s">
        <v>1280</v>
      </c>
      <c r="C689" s="235" t="n">
        <v>138</v>
      </c>
      <c r="D689" s="235" t="n">
        <v>186</v>
      </c>
      <c r="E689" s="235" t="n">
        <v>196</v>
      </c>
    </row>
    <row r="690" customFormat="false" ht="14.25" hidden="false" customHeight="true" outlineLevel="0" collapsed="false">
      <c r="A690" s="213" t="s">
        <v>1281</v>
      </c>
      <c r="B690" s="300" t="s">
        <v>1282</v>
      </c>
      <c r="C690" s="235" t="n">
        <v>138</v>
      </c>
      <c r="D690" s="235" t="n">
        <v>186</v>
      </c>
      <c r="E690" s="235" t="n">
        <v>196</v>
      </c>
    </row>
    <row r="691" customFormat="false" ht="14.25" hidden="false" customHeight="true" outlineLevel="0" collapsed="false">
      <c r="A691" s="213" t="s">
        <v>1283</v>
      </c>
      <c r="B691" s="300" t="s">
        <v>1284</v>
      </c>
      <c r="C691" s="235" t="n">
        <v>138</v>
      </c>
      <c r="D691" s="235" t="n">
        <v>186</v>
      </c>
      <c r="E691" s="235" t="n">
        <v>196</v>
      </c>
    </row>
    <row r="692" customFormat="false" ht="14.25" hidden="false" customHeight="true" outlineLevel="0" collapsed="false">
      <c r="A692" s="213" t="s">
        <v>1285</v>
      </c>
      <c r="B692" s="300" t="s">
        <v>1286</v>
      </c>
      <c r="C692" s="235" t="n">
        <v>138</v>
      </c>
      <c r="D692" s="235" t="n">
        <v>186</v>
      </c>
      <c r="E692" s="235" t="n">
        <v>196</v>
      </c>
    </row>
    <row r="693" customFormat="false" ht="14.25" hidden="false" customHeight="true" outlineLevel="0" collapsed="false">
      <c r="A693" s="213" t="s">
        <v>1287</v>
      </c>
      <c r="B693" s="300" t="s">
        <v>1288</v>
      </c>
      <c r="C693" s="235" t="n">
        <v>138</v>
      </c>
      <c r="D693" s="235" t="n">
        <v>186</v>
      </c>
      <c r="E693" s="235" t="n">
        <v>196</v>
      </c>
    </row>
    <row r="694" customFormat="false" ht="14.25" hidden="false" customHeight="true" outlineLevel="0" collapsed="false">
      <c r="A694" s="213" t="s">
        <v>1289</v>
      </c>
      <c r="B694" s="300" t="s">
        <v>1290</v>
      </c>
      <c r="C694" s="235" t="n">
        <v>138</v>
      </c>
      <c r="D694" s="235" t="n">
        <v>186</v>
      </c>
      <c r="E694" s="235" t="n">
        <v>196</v>
      </c>
    </row>
    <row r="695" customFormat="false" ht="14.25" hidden="false" customHeight="true" outlineLevel="0" collapsed="false">
      <c r="A695" s="213" t="s">
        <v>1291</v>
      </c>
      <c r="B695" s="300" t="s">
        <v>1292</v>
      </c>
      <c r="C695" s="235" t="n">
        <v>138</v>
      </c>
      <c r="D695" s="235" t="n">
        <v>186</v>
      </c>
      <c r="E695" s="235" t="n">
        <v>196</v>
      </c>
    </row>
    <row r="696" customFormat="false" ht="14.25" hidden="false" customHeight="true" outlineLevel="0" collapsed="false">
      <c r="A696" s="213" t="s">
        <v>1293</v>
      </c>
      <c r="B696" s="300" t="s">
        <v>1294</v>
      </c>
      <c r="C696" s="235" t="n">
        <v>138</v>
      </c>
      <c r="D696" s="235" t="n">
        <v>186</v>
      </c>
      <c r="E696" s="235" t="n">
        <v>196</v>
      </c>
    </row>
    <row r="697" customFormat="false" ht="14.25" hidden="false" customHeight="true" outlineLevel="0" collapsed="false">
      <c r="A697" s="213" t="s">
        <v>1295</v>
      </c>
      <c r="B697" s="300" t="s">
        <v>1296</v>
      </c>
      <c r="C697" s="235" t="n">
        <v>138</v>
      </c>
      <c r="D697" s="235" t="n">
        <v>186</v>
      </c>
      <c r="E697" s="235" t="n">
        <v>196</v>
      </c>
    </row>
    <row r="698" customFormat="false" ht="14.25" hidden="false" customHeight="true" outlineLevel="0" collapsed="false">
      <c r="A698" s="213" t="s">
        <v>1297</v>
      </c>
      <c r="B698" s="300" t="s">
        <v>1298</v>
      </c>
      <c r="C698" s="235" t="n">
        <v>138</v>
      </c>
      <c r="D698" s="235" t="n">
        <v>186</v>
      </c>
      <c r="E698" s="235" t="n">
        <v>196</v>
      </c>
    </row>
    <row r="700" customFormat="false" ht="14.25" hidden="false" customHeight="true" outlineLevel="0" collapsed="false">
      <c r="A700" s="305" t="s">
        <v>1299</v>
      </c>
      <c r="B700" s="175" t="s">
        <v>772</v>
      </c>
      <c r="C700" s="175" t="s">
        <v>138</v>
      </c>
      <c r="D700" s="175" t="s">
        <v>27</v>
      </c>
      <c r="E700" s="175" t="s">
        <v>81</v>
      </c>
      <c r="F700" s="175"/>
    </row>
    <row r="701" customFormat="false" ht="14.25" hidden="false" customHeight="true" outlineLevel="0" collapsed="false">
      <c r="A701" s="213" t="s">
        <v>1300</v>
      </c>
      <c r="B701" s="300" t="s">
        <v>1301</v>
      </c>
      <c r="C701" s="235" t="n">
        <v>107</v>
      </c>
      <c r="D701" s="235" t="n">
        <v>145</v>
      </c>
      <c r="E701" s="235" t="n">
        <v>153</v>
      </c>
    </row>
    <row r="702" customFormat="false" ht="14.25" hidden="false" customHeight="true" outlineLevel="0" collapsed="false">
      <c r="A702" s="213" t="s">
        <v>1302</v>
      </c>
      <c r="B702" s="300" t="s">
        <v>1303</v>
      </c>
      <c r="C702" s="235" t="n">
        <v>107</v>
      </c>
      <c r="D702" s="235" t="n">
        <v>145</v>
      </c>
      <c r="E702" s="235" t="n">
        <v>153</v>
      </c>
    </row>
    <row r="703" customFormat="false" ht="14.25" hidden="false" customHeight="true" outlineLevel="0" collapsed="false">
      <c r="A703" s="213" t="s">
        <v>1304</v>
      </c>
      <c r="B703" s="300" t="s">
        <v>1305</v>
      </c>
      <c r="C703" s="235" t="n">
        <v>107</v>
      </c>
      <c r="D703" s="235" t="n">
        <v>145</v>
      </c>
      <c r="E703" s="235" t="n">
        <v>153</v>
      </c>
    </row>
    <row r="704" customFormat="false" ht="14.25" hidden="false" customHeight="true" outlineLevel="0" collapsed="false">
      <c r="A704" s="213" t="s">
        <v>1306</v>
      </c>
      <c r="B704" s="300" t="s">
        <v>1307</v>
      </c>
      <c r="C704" s="235" t="n">
        <v>107</v>
      </c>
      <c r="D704" s="235" t="n">
        <v>145</v>
      </c>
      <c r="E704" s="235" t="n">
        <v>153</v>
      </c>
    </row>
    <row r="705" customFormat="false" ht="14.25" hidden="false" customHeight="true" outlineLevel="0" collapsed="false">
      <c r="A705" s="213" t="s">
        <v>1308</v>
      </c>
      <c r="B705" s="300" t="s">
        <v>1309</v>
      </c>
      <c r="C705" s="235" t="n">
        <v>107</v>
      </c>
      <c r="D705" s="235" t="n">
        <v>145</v>
      </c>
      <c r="E705" s="235" t="n">
        <v>153</v>
      </c>
    </row>
    <row r="706" customFormat="false" ht="14.25" hidden="false" customHeight="true" outlineLevel="0" collapsed="false">
      <c r="A706" s="213" t="s">
        <v>1310</v>
      </c>
      <c r="B706" s="300" t="s">
        <v>1311</v>
      </c>
      <c r="C706" s="235" t="n">
        <v>107</v>
      </c>
      <c r="D706" s="235" t="n">
        <v>145</v>
      </c>
      <c r="E706" s="235" t="n">
        <v>153</v>
      </c>
    </row>
    <row r="707" customFormat="false" ht="14.25" hidden="false" customHeight="true" outlineLevel="0" collapsed="false">
      <c r="A707" s="213" t="s">
        <v>1312</v>
      </c>
      <c r="B707" s="300" t="s">
        <v>1313</v>
      </c>
      <c r="C707" s="235" t="n">
        <v>107</v>
      </c>
      <c r="D707" s="235" t="n">
        <v>145</v>
      </c>
      <c r="E707" s="235" t="n">
        <v>153</v>
      </c>
    </row>
    <row r="708" customFormat="false" ht="14.25" hidden="false" customHeight="true" outlineLevel="0" collapsed="false">
      <c r="A708" s="213" t="s">
        <v>1314</v>
      </c>
      <c r="B708" s="300" t="s">
        <v>1315</v>
      </c>
      <c r="C708" s="235" t="n">
        <v>107</v>
      </c>
      <c r="D708" s="235" t="n">
        <v>145</v>
      </c>
      <c r="E708" s="235" t="n">
        <v>153</v>
      </c>
    </row>
    <row r="709" customFormat="false" ht="14.25" hidden="false" customHeight="true" outlineLevel="0" collapsed="false">
      <c r="A709" s="213" t="s">
        <v>1316</v>
      </c>
      <c r="B709" s="300" t="s">
        <v>1317</v>
      </c>
      <c r="C709" s="235" t="n">
        <v>107</v>
      </c>
      <c r="D709" s="235" t="n">
        <v>145</v>
      </c>
      <c r="E709" s="235" t="n">
        <v>153</v>
      </c>
    </row>
    <row r="710" customFormat="false" ht="14.25" hidden="false" customHeight="true" outlineLevel="0" collapsed="false">
      <c r="A710" s="213" t="s">
        <v>1318</v>
      </c>
      <c r="B710" s="300" t="s">
        <v>1319</v>
      </c>
      <c r="C710" s="235" t="n">
        <v>107</v>
      </c>
      <c r="D710" s="235" t="n">
        <v>145</v>
      </c>
      <c r="E710" s="235" t="n">
        <v>153</v>
      </c>
    </row>
    <row r="711" customFormat="false" ht="14.25" hidden="false" customHeight="true" outlineLevel="0" collapsed="false">
      <c r="A711" s="213" t="s">
        <v>1320</v>
      </c>
      <c r="B711" s="300" t="s">
        <v>1321</v>
      </c>
      <c r="C711" s="235" t="n">
        <v>107</v>
      </c>
      <c r="D711" s="235" t="n">
        <v>145</v>
      </c>
      <c r="E711" s="235" t="n">
        <v>153</v>
      </c>
    </row>
    <row r="712" customFormat="false" ht="14.25" hidden="false" customHeight="true" outlineLevel="0" collapsed="false">
      <c r="A712" s="213" t="s">
        <v>1322</v>
      </c>
      <c r="B712" s="300" t="s">
        <v>1323</v>
      </c>
      <c r="C712" s="235" t="n">
        <v>107</v>
      </c>
      <c r="D712" s="235" t="n">
        <v>145</v>
      </c>
      <c r="E712" s="235" t="n">
        <v>153</v>
      </c>
    </row>
    <row r="713" customFormat="false" ht="14.25" hidden="false" customHeight="true" outlineLevel="0" collapsed="false">
      <c r="A713" s="213" t="s">
        <v>1324</v>
      </c>
      <c r="B713" s="300" t="s">
        <v>1325</v>
      </c>
      <c r="C713" s="235" t="n">
        <v>107</v>
      </c>
      <c r="D713" s="235" t="n">
        <v>145</v>
      </c>
      <c r="E713" s="235" t="n">
        <v>153</v>
      </c>
    </row>
    <row r="714" customFormat="false" ht="14.25" hidden="false" customHeight="true" outlineLevel="0" collapsed="false">
      <c r="A714" s="213" t="s">
        <v>1326</v>
      </c>
      <c r="B714" s="300" t="s">
        <v>1327</v>
      </c>
      <c r="C714" s="235" t="n">
        <v>107</v>
      </c>
      <c r="D714" s="235" t="n">
        <v>145</v>
      </c>
      <c r="E714" s="235" t="n">
        <v>153</v>
      </c>
    </row>
    <row r="715" customFormat="false" ht="14.25" hidden="false" customHeight="true" outlineLevel="0" collapsed="false">
      <c r="A715" s="213" t="s">
        <v>1328</v>
      </c>
      <c r="B715" s="300" t="s">
        <v>1329</v>
      </c>
      <c r="C715" s="235" t="n">
        <v>107</v>
      </c>
      <c r="D715" s="235" t="n">
        <v>145</v>
      </c>
      <c r="E715" s="235" t="n">
        <v>153</v>
      </c>
    </row>
    <row r="716" customFormat="false" ht="14.25" hidden="false" customHeight="true" outlineLevel="0" collapsed="false">
      <c r="A716" s="213" t="s">
        <v>1330</v>
      </c>
      <c r="B716" s="300" t="s">
        <v>1331</v>
      </c>
      <c r="C716" s="235" t="n">
        <v>107</v>
      </c>
      <c r="D716" s="235" t="n">
        <v>145</v>
      </c>
      <c r="E716" s="235" t="n">
        <v>153</v>
      </c>
    </row>
    <row r="717" customFormat="false" ht="14.25" hidden="false" customHeight="true" outlineLevel="0" collapsed="false">
      <c r="A717" s="213" t="s">
        <v>1332</v>
      </c>
      <c r="B717" s="300" t="s">
        <v>1333</v>
      </c>
      <c r="C717" s="235" t="n">
        <v>107</v>
      </c>
      <c r="D717" s="235" t="n">
        <v>145</v>
      </c>
      <c r="E717" s="235" t="n">
        <v>153</v>
      </c>
    </row>
    <row r="718" customFormat="false" ht="14.25" hidden="false" customHeight="true" outlineLevel="0" collapsed="false">
      <c r="A718" s="213" t="s">
        <v>1334</v>
      </c>
      <c r="B718" s="300" t="s">
        <v>1335</v>
      </c>
      <c r="C718" s="235" t="n">
        <v>107</v>
      </c>
      <c r="D718" s="235" t="n">
        <v>145</v>
      </c>
      <c r="E718" s="235" t="n">
        <v>153</v>
      </c>
    </row>
    <row r="719" customFormat="false" ht="14.25" hidden="false" customHeight="true" outlineLevel="0" collapsed="false">
      <c r="A719" s="213" t="s">
        <v>1336</v>
      </c>
      <c r="B719" s="300" t="s">
        <v>1337</v>
      </c>
      <c r="C719" s="235" t="n">
        <v>107</v>
      </c>
      <c r="D719" s="235" t="n">
        <v>145</v>
      </c>
      <c r="E719" s="235" t="n">
        <v>153</v>
      </c>
    </row>
    <row r="720" customFormat="false" ht="14.25" hidden="false" customHeight="true" outlineLevel="0" collapsed="false">
      <c r="A720" s="213" t="s">
        <v>1338</v>
      </c>
      <c r="B720" s="300" t="s">
        <v>1339</v>
      </c>
      <c r="C720" s="235" t="n">
        <v>107</v>
      </c>
      <c r="D720" s="235" t="n">
        <v>145</v>
      </c>
      <c r="E720" s="235" t="n">
        <v>153</v>
      </c>
    </row>
    <row r="721" customFormat="false" ht="14.25" hidden="false" customHeight="true" outlineLevel="0" collapsed="false">
      <c r="A721" s="213" t="s">
        <v>1340</v>
      </c>
      <c r="B721" s="300" t="s">
        <v>1341</v>
      </c>
      <c r="C721" s="235" t="n">
        <v>107</v>
      </c>
      <c r="D721" s="235" t="n">
        <v>145</v>
      </c>
      <c r="E721" s="235" t="n">
        <v>153</v>
      </c>
    </row>
    <row r="722" customFormat="false" ht="14.25" hidden="false" customHeight="true" outlineLevel="0" collapsed="false">
      <c r="A722" s="213" t="s">
        <v>1342</v>
      </c>
      <c r="B722" s="300" t="s">
        <v>1343</v>
      </c>
      <c r="C722" s="235" t="n">
        <v>107</v>
      </c>
      <c r="D722" s="235" t="n">
        <v>145</v>
      </c>
      <c r="E722" s="235" t="n">
        <v>153</v>
      </c>
    </row>
    <row r="723" customFormat="false" ht="14.25" hidden="false" customHeight="true" outlineLevel="0" collapsed="false">
      <c r="A723" s="213" t="s">
        <v>1344</v>
      </c>
      <c r="B723" s="300" t="s">
        <v>1345</v>
      </c>
      <c r="C723" s="235" t="n">
        <v>107</v>
      </c>
      <c r="D723" s="235" t="n">
        <v>145</v>
      </c>
      <c r="E723" s="235" t="n">
        <v>153</v>
      </c>
    </row>
    <row r="724" customFormat="false" ht="14.25" hidden="false" customHeight="true" outlineLevel="0" collapsed="false">
      <c r="A724" s="213" t="s">
        <v>1346</v>
      </c>
      <c r="B724" s="300" t="s">
        <v>1347</v>
      </c>
      <c r="C724" s="235" t="n">
        <v>107</v>
      </c>
      <c r="D724" s="235" t="n">
        <v>145</v>
      </c>
      <c r="E724" s="235" t="n">
        <v>153</v>
      </c>
    </row>
    <row r="725" customFormat="false" ht="14.25" hidden="false" customHeight="true" outlineLevel="0" collapsed="false">
      <c r="A725" s="213" t="s">
        <v>1348</v>
      </c>
      <c r="B725" s="300" t="s">
        <v>1349</v>
      </c>
      <c r="C725" s="235" t="n">
        <v>107</v>
      </c>
      <c r="D725" s="235" t="n">
        <v>145</v>
      </c>
      <c r="E725" s="235" t="n">
        <v>153</v>
      </c>
    </row>
    <row r="726" customFormat="false" ht="14.25" hidden="false" customHeight="true" outlineLevel="0" collapsed="false">
      <c r="A726" s="213" t="s">
        <v>1350</v>
      </c>
      <c r="B726" s="300" t="s">
        <v>1351</v>
      </c>
      <c r="C726" s="235" t="n">
        <v>107</v>
      </c>
      <c r="D726" s="235" t="n">
        <v>145</v>
      </c>
      <c r="E726" s="235" t="n">
        <v>153</v>
      </c>
    </row>
    <row r="727" customFormat="false" ht="14.25" hidden="false" customHeight="true" outlineLevel="0" collapsed="false">
      <c r="A727" s="213" t="s">
        <v>1352</v>
      </c>
      <c r="B727" s="300" t="s">
        <v>1353</v>
      </c>
      <c r="C727" s="235" t="n">
        <v>107</v>
      </c>
      <c r="D727" s="235" t="n">
        <v>145</v>
      </c>
      <c r="E727" s="235" t="n">
        <v>153</v>
      </c>
    </row>
    <row r="728" customFormat="false" ht="14.25" hidden="false" customHeight="true" outlineLevel="0" collapsed="false">
      <c r="A728" s="213" t="s">
        <v>1354</v>
      </c>
      <c r="B728" s="300" t="s">
        <v>1355</v>
      </c>
      <c r="C728" s="235" t="n">
        <v>107</v>
      </c>
      <c r="D728" s="235" t="n">
        <v>145</v>
      </c>
      <c r="E728" s="235" t="n">
        <v>153</v>
      </c>
    </row>
    <row r="729" customFormat="false" ht="14.25" hidden="false" customHeight="true" outlineLevel="0" collapsed="false">
      <c r="A729" s="213" t="s">
        <v>1356</v>
      </c>
      <c r="B729" s="300" t="s">
        <v>1357</v>
      </c>
      <c r="C729" s="235" t="n">
        <v>107</v>
      </c>
      <c r="D729" s="235" t="n">
        <v>145</v>
      </c>
      <c r="E729" s="235" t="n">
        <v>153</v>
      </c>
    </row>
    <row r="730" customFormat="false" ht="14.25" hidden="false" customHeight="true" outlineLevel="0" collapsed="false">
      <c r="A730" s="213" t="s">
        <v>1358</v>
      </c>
      <c r="B730" s="300" t="s">
        <v>1359</v>
      </c>
      <c r="C730" s="235" t="n">
        <v>107</v>
      </c>
      <c r="D730" s="235" t="n">
        <v>145</v>
      </c>
      <c r="E730" s="235" t="n">
        <v>153</v>
      </c>
    </row>
    <row r="731" customFormat="false" ht="14.25" hidden="false" customHeight="true" outlineLevel="0" collapsed="false">
      <c r="A731" s="213" t="s">
        <v>1360</v>
      </c>
      <c r="B731" s="300" t="s">
        <v>1361</v>
      </c>
      <c r="C731" s="235" t="n">
        <v>107</v>
      </c>
      <c r="D731" s="235" t="n">
        <v>145</v>
      </c>
      <c r="E731" s="235" t="n">
        <v>153</v>
      </c>
    </row>
    <row r="732" customFormat="false" ht="14.25" hidden="false" customHeight="true" outlineLevel="0" collapsed="false">
      <c r="A732" s="213" t="s">
        <v>1362</v>
      </c>
      <c r="B732" s="300" t="s">
        <v>1363</v>
      </c>
      <c r="C732" s="235" t="n">
        <v>107</v>
      </c>
      <c r="D732" s="235" t="n">
        <v>145</v>
      </c>
      <c r="E732" s="235" t="n">
        <v>153</v>
      </c>
    </row>
    <row r="733" customFormat="false" ht="14.25" hidden="false" customHeight="true" outlineLevel="0" collapsed="false">
      <c r="A733" s="213" t="s">
        <v>1364</v>
      </c>
      <c r="B733" s="300" t="s">
        <v>1365</v>
      </c>
      <c r="C733" s="235" t="n">
        <v>107</v>
      </c>
      <c r="D733" s="235" t="n">
        <v>145</v>
      </c>
      <c r="E733" s="235" t="n">
        <v>153</v>
      </c>
    </row>
    <row r="734" customFormat="false" ht="14.25" hidden="false" customHeight="true" outlineLevel="0" collapsed="false">
      <c r="A734" s="213" t="s">
        <v>1366</v>
      </c>
      <c r="B734" s="300" t="s">
        <v>1367</v>
      </c>
      <c r="C734" s="235" t="n">
        <v>107</v>
      </c>
      <c r="D734" s="235" t="n">
        <v>145</v>
      </c>
      <c r="E734" s="235" t="n">
        <v>153</v>
      </c>
    </row>
    <row r="735" customFormat="false" ht="14.25" hidden="false" customHeight="true" outlineLevel="0" collapsed="false">
      <c r="A735" s="213" t="s">
        <v>1368</v>
      </c>
      <c r="B735" s="300" t="s">
        <v>1369</v>
      </c>
      <c r="C735" s="235" t="n">
        <v>107</v>
      </c>
      <c r="D735" s="235" t="n">
        <v>145</v>
      </c>
      <c r="E735" s="235" t="n">
        <v>153</v>
      </c>
    </row>
    <row r="736" customFormat="false" ht="14.25" hidden="false" customHeight="true" outlineLevel="0" collapsed="false">
      <c r="A736" s="213" t="s">
        <v>1370</v>
      </c>
      <c r="B736" s="300" t="s">
        <v>1371</v>
      </c>
      <c r="C736" s="235" t="n">
        <v>107</v>
      </c>
      <c r="D736" s="235" t="n">
        <v>145</v>
      </c>
      <c r="E736" s="235" t="n">
        <v>153</v>
      </c>
    </row>
    <row r="738" customFormat="false" ht="14.25" hidden="false" customHeight="true" outlineLevel="0" collapsed="false">
      <c r="A738" s="305" t="s">
        <v>1372</v>
      </c>
      <c r="B738" s="175" t="s">
        <v>772</v>
      </c>
      <c r="C738" s="175" t="s">
        <v>138</v>
      </c>
      <c r="D738" s="175" t="s">
        <v>27</v>
      </c>
      <c r="E738" s="175" t="s">
        <v>81</v>
      </c>
      <c r="F738" s="175"/>
    </row>
    <row r="739" customFormat="false" ht="14.25" hidden="false" customHeight="true" outlineLevel="0" collapsed="false">
      <c r="A739" s="213" t="s">
        <v>1373</v>
      </c>
      <c r="B739" s="300" t="s">
        <v>1374</v>
      </c>
      <c r="C739" s="235" t="n">
        <v>177</v>
      </c>
      <c r="D739" s="235" t="n">
        <v>241</v>
      </c>
      <c r="E739" s="235" t="n">
        <v>254</v>
      </c>
    </row>
    <row r="740" customFormat="false" ht="14.25" hidden="false" customHeight="true" outlineLevel="0" collapsed="false">
      <c r="A740" s="213" t="s">
        <v>1375</v>
      </c>
      <c r="B740" s="300" t="s">
        <v>1376</v>
      </c>
      <c r="C740" s="235" t="n">
        <v>177</v>
      </c>
      <c r="D740" s="235" t="n">
        <v>241</v>
      </c>
      <c r="E740" s="235" t="n">
        <v>254</v>
      </c>
    </row>
    <row r="741" customFormat="false" ht="14.25" hidden="false" customHeight="true" outlineLevel="0" collapsed="false">
      <c r="A741" s="213" t="s">
        <v>1377</v>
      </c>
      <c r="B741" s="300" t="s">
        <v>1378</v>
      </c>
      <c r="C741" s="235" t="n">
        <v>177</v>
      </c>
      <c r="D741" s="235" t="n">
        <v>241</v>
      </c>
      <c r="E741" s="235" t="n">
        <v>254</v>
      </c>
    </row>
    <row r="742" customFormat="false" ht="14.25" hidden="false" customHeight="true" outlineLevel="0" collapsed="false">
      <c r="A742" s="213" t="s">
        <v>1379</v>
      </c>
      <c r="B742" s="300" t="s">
        <v>1380</v>
      </c>
      <c r="C742" s="235" t="n">
        <v>177</v>
      </c>
      <c r="D742" s="235" t="n">
        <v>241</v>
      </c>
      <c r="E742" s="235" t="n">
        <v>254</v>
      </c>
    </row>
    <row r="743" customFormat="false" ht="14.25" hidden="false" customHeight="true" outlineLevel="0" collapsed="false">
      <c r="A743" s="213" t="s">
        <v>1381</v>
      </c>
      <c r="B743" s="300" t="s">
        <v>1382</v>
      </c>
      <c r="C743" s="235" t="n">
        <v>177</v>
      </c>
      <c r="D743" s="235" t="n">
        <v>241</v>
      </c>
      <c r="E743" s="235" t="n">
        <v>254</v>
      </c>
    </row>
    <row r="744" customFormat="false" ht="14.25" hidden="false" customHeight="true" outlineLevel="0" collapsed="false">
      <c r="A744" s="213" t="s">
        <v>1383</v>
      </c>
      <c r="B744" s="300" t="s">
        <v>1384</v>
      </c>
      <c r="C744" s="235" t="n">
        <v>177</v>
      </c>
      <c r="D744" s="235" t="n">
        <v>241</v>
      </c>
      <c r="E744" s="235" t="n">
        <v>254</v>
      </c>
    </row>
    <row r="746" customFormat="false" ht="14.25" hidden="false" customHeight="true" outlineLevel="0" collapsed="false">
      <c r="A746" s="305" t="s">
        <v>1385</v>
      </c>
      <c r="B746" s="175" t="s">
        <v>772</v>
      </c>
      <c r="C746" s="175" t="s">
        <v>138</v>
      </c>
      <c r="D746" s="175" t="s">
        <v>27</v>
      </c>
      <c r="E746" s="175" t="s">
        <v>81</v>
      </c>
      <c r="F746" s="175"/>
    </row>
    <row r="747" customFormat="false" ht="14.25" hidden="false" customHeight="true" outlineLevel="0" collapsed="false">
      <c r="A747" s="213" t="s">
        <v>1386</v>
      </c>
      <c r="B747" s="300" t="s">
        <v>1387</v>
      </c>
      <c r="C747" s="235" t="n">
        <v>266</v>
      </c>
      <c r="D747" s="235" t="n">
        <v>343</v>
      </c>
      <c r="E747" s="235" t="n">
        <v>379</v>
      </c>
    </row>
    <row r="748" customFormat="false" ht="14.25" hidden="false" customHeight="true" outlineLevel="0" collapsed="false">
      <c r="A748" s="213" t="s">
        <v>1388</v>
      </c>
      <c r="B748" s="300" t="s">
        <v>1389</v>
      </c>
      <c r="C748" s="235" t="n">
        <v>266</v>
      </c>
      <c r="D748" s="235" t="n">
        <v>343</v>
      </c>
      <c r="E748" s="235" t="n">
        <v>379</v>
      </c>
    </row>
    <row r="749" customFormat="false" ht="14.25" hidden="false" customHeight="true" outlineLevel="0" collapsed="false">
      <c r="A749" s="213" t="s">
        <v>1390</v>
      </c>
      <c r="B749" s="300" t="s">
        <v>1391</v>
      </c>
      <c r="C749" s="235" t="n">
        <v>266</v>
      </c>
      <c r="D749" s="235" t="n">
        <v>343</v>
      </c>
      <c r="E749" s="235" t="n">
        <v>379</v>
      </c>
    </row>
    <row r="750" customFormat="false" ht="14.25" hidden="false" customHeight="true" outlineLevel="0" collapsed="false">
      <c r="A750" s="213" t="s">
        <v>1392</v>
      </c>
      <c r="B750" s="300" t="s">
        <v>1393</v>
      </c>
      <c r="C750" s="235" t="n">
        <v>266</v>
      </c>
      <c r="D750" s="235" t="n">
        <v>343</v>
      </c>
      <c r="E750" s="235" t="n">
        <v>379</v>
      </c>
    </row>
    <row r="751" customFormat="false" ht="14.25" hidden="false" customHeight="true" outlineLevel="0" collapsed="false">
      <c r="A751" s="213" t="s">
        <v>1394</v>
      </c>
      <c r="B751" s="300" t="s">
        <v>1395</v>
      </c>
      <c r="C751" s="235" t="n">
        <v>266</v>
      </c>
      <c r="D751" s="235" t="n">
        <v>343</v>
      </c>
      <c r="E751" s="235" t="n">
        <v>379</v>
      </c>
    </row>
    <row r="752" customFormat="false" ht="14.25" hidden="false" customHeight="true" outlineLevel="0" collapsed="false">
      <c r="A752" s="213" t="s">
        <v>1396</v>
      </c>
      <c r="B752" s="300" t="s">
        <v>1397</v>
      </c>
      <c r="C752" s="235" t="n">
        <v>266</v>
      </c>
      <c r="D752" s="235" t="n">
        <v>343</v>
      </c>
      <c r="E752" s="235" t="n">
        <v>379</v>
      </c>
    </row>
    <row r="753" customFormat="false" ht="14.25" hidden="false" customHeight="true" outlineLevel="0" collapsed="false">
      <c r="A753" s="213" t="s">
        <v>1398</v>
      </c>
      <c r="B753" s="300" t="s">
        <v>1399</v>
      </c>
      <c r="C753" s="235" t="n">
        <v>266</v>
      </c>
      <c r="D753" s="235" t="n">
        <v>343</v>
      </c>
      <c r="E753" s="235" t="n">
        <v>379</v>
      </c>
    </row>
    <row r="754" customFormat="false" ht="14.25" hidden="false" customHeight="true" outlineLevel="0" collapsed="false">
      <c r="A754" s="213" t="s">
        <v>1400</v>
      </c>
      <c r="B754" s="300" t="s">
        <v>1401</v>
      </c>
      <c r="C754" s="235" t="n">
        <v>266</v>
      </c>
      <c r="D754" s="235" t="n">
        <v>343</v>
      </c>
      <c r="E754" s="235" t="n">
        <v>379</v>
      </c>
    </row>
    <row r="755" customFormat="false" ht="14.25" hidden="false" customHeight="true" outlineLevel="0" collapsed="false">
      <c r="A755" s="213" t="s">
        <v>1402</v>
      </c>
      <c r="B755" s="300" t="s">
        <v>1403</v>
      </c>
      <c r="C755" s="235" t="n">
        <v>266</v>
      </c>
      <c r="D755" s="235" t="n">
        <v>343</v>
      </c>
      <c r="E755" s="235" t="n">
        <v>379</v>
      </c>
    </row>
    <row r="756" customFormat="false" ht="14.25" hidden="false" customHeight="true" outlineLevel="0" collapsed="false">
      <c r="A756" s="213" t="s">
        <v>1404</v>
      </c>
      <c r="B756" s="300" t="s">
        <v>1405</v>
      </c>
      <c r="C756" s="235" t="n">
        <v>266</v>
      </c>
      <c r="D756" s="235" t="n">
        <v>343</v>
      </c>
      <c r="E756" s="235" t="n">
        <v>379</v>
      </c>
    </row>
    <row r="757" customFormat="false" ht="14.25" hidden="false" customHeight="true" outlineLevel="0" collapsed="false">
      <c r="A757" s="213" t="s">
        <v>1406</v>
      </c>
      <c r="B757" s="300" t="s">
        <v>1407</v>
      </c>
      <c r="C757" s="235" t="n">
        <v>266</v>
      </c>
      <c r="D757" s="235" t="n">
        <v>343</v>
      </c>
      <c r="E757" s="235" t="n">
        <v>379</v>
      </c>
    </row>
    <row r="758" customFormat="false" ht="14.25" hidden="false" customHeight="true" outlineLevel="0" collapsed="false">
      <c r="A758" s="213" t="s">
        <v>1408</v>
      </c>
      <c r="B758" s="300" t="s">
        <v>1409</v>
      </c>
      <c r="C758" s="235" t="n">
        <v>266</v>
      </c>
      <c r="D758" s="235" t="n">
        <v>343</v>
      </c>
      <c r="E758" s="235" t="n">
        <v>379</v>
      </c>
    </row>
    <row r="759" customFormat="false" ht="14.25" hidden="false" customHeight="true" outlineLevel="0" collapsed="false">
      <c r="A759" s="213" t="s">
        <v>1410</v>
      </c>
      <c r="B759" s="300" t="s">
        <v>1411</v>
      </c>
      <c r="C759" s="235" t="n">
        <v>266</v>
      </c>
      <c r="D759" s="235" t="n">
        <v>343</v>
      </c>
      <c r="E759" s="235" t="n">
        <v>379</v>
      </c>
    </row>
    <row r="760" customFormat="false" ht="14.25" hidden="false" customHeight="true" outlineLevel="0" collapsed="false">
      <c r="A760" s="213" t="s">
        <v>1412</v>
      </c>
      <c r="B760" s="300" t="s">
        <v>1413</v>
      </c>
      <c r="C760" s="235" t="n">
        <v>266</v>
      </c>
      <c r="D760" s="235" t="n">
        <v>343</v>
      </c>
      <c r="E760" s="235" t="n">
        <v>379</v>
      </c>
    </row>
    <row r="761" customFormat="false" ht="14.25" hidden="false" customHeight="true" outlineLevel="0" collapsed="false">
      <c r="A761" s="213" t="s">
        <v>1414</v>
      </c>
      <c r="B761" s="300" t="s">
        <v>1415</v>
      </c>
      <c r="C761" s="235" t="n">
        <v>266</v>
      </c>
      <c r="D761" s="235" t="n">
        <v>343</v>
      </c>
      <c r="E761" s="235" t="n">
        <v>379</v>
      </c>
    </row>
    <row r="762" customFormat="false" ht="14.25" hidden="false" customHeight="true" outlineLevel="0" collapsed="false">
      <c r="A762" s="213" t="s">
        <v>1416</v>
      </c>
      <c r="B762" s="300" t="s">
        <v>1417</v>
      </c>
      <c r="C762" s="235" t="n">
        <v>266</v>
      </c>
      <c r="D762" s="235" t="n">
        <v>343</v>
      </c>
      <c r="E762" s="235" t="n">
        <v>379</v>
      </c>
    </row>
    <row r="763" customFormat="false" ht="14.25" hidden="false" customHeight="true" outlineLevel="0" collapsed="false">
      <c r="A763" s="213" t="s">
        <v>1418</v>
      </c>
      <c r="B763" s="300" t="s">
        <v>1419</v>
      </c>
      <c r="C763" s="235" t="n">
        <v>266</v>
      </c>
      <c r="D763" s="235" t="n">
        <v>343</v>
      </c>
      <c r="E763" s="235" t="n">
        <v>379</v>
      </c>
    </row>
    <row r="764" customFormat="false" ht="14.25" hidden="false" customHeight="true" outlineLevel="0" collapsed="false">
      <c r="A764" s="213" t="s">
        <v>1420</v>
      </c>
      <c r="B764" s="300" t="s">
        <v>1421</v>
      </c>
      <c r="C764" s="235" t="n">
        <v>266</v>
      </c>
      <c r="D764" s="235" t="n">
        <v>343</v>
      </c>
      <c r="E764" s="235" t="n">
        <v>379</v>
      </c>
    </row>
    <row r="766" customFormat="false" ht="14.25" hidden="false" customHeight="true" outlineLevel="0" collapsed="false">
      <c r="A766" s="305" t="s">
        <v>1422</v>
      </c>
      <c r="B766" s="175" t="s">
        <v>772</v>
      </c>
      <c r="C766" s="175" t="s">
        <v>138</v>
      </c>
      <c r="D766" s="175" t="s">
        <v>27</v>
      </c>
      <c r="E766" s="175" t="s">
        <v>81</v>
      </c>
      <c r="F766" s="175"/>
    </row>
    <row r="767" customFormat="false" ht="14.25" hidden="false" customHeight="true" outlineLevel="0" collapsed="false">
      <c r="A767" s="213" t="s">
        <v>1423</v>
      </c>
      <c r="B767" s="300" t="s">
        <v>1424</v>
      </c>
      <c r="C767" s="235" t="n">
        <v>266</v>
      </c>
      <c r="D767" s="235" t="n">
        <v>343</v>
      </c>
      <c r="E767" s="235" t="n">
        <v>379</v>
      </c>
    </row>
    <row r="768" customFormat="false" ht="14.25" hidden="false" customHeight="true" outlineLevel="0" collapsed="false">
      <c r="A768" s="213" t="s">
        <v>1425</v>
      </c>
      <c r="B768" s="300" t="s">
        <v>1426</v>
      </c>
      <c r="C768" s="235" t="n">
        <v>266</v>
      </c>
      <c r="D768" s="235" t="n">
        <v>343</v>
      </c>
      <c r="E768" s="235" t="n">
        <v>379</v>
      </c>
    </row>
    <row r="769" customFormat="false" ht="14.25" hidden="false" customHeight="true" outlineLevel="0" collapsed="false">
      <c r="A769" s="213" t="s">
        <v>1427</v>
      </c>
      <c r="B769" s="300" t="s">
        <v>1428</v>
      </c>
      <c r="C769" s="235" t="n">
        <v>266</v>
      </c>
      <c r="D769" s="235" t="n">
        <v>343</v>
      </c>
      <c r="E769" s="235" t="n">
        <v>379</v>
      </c>
    </row>
    <row r="771" customFormat="false" ht="14.25" hidden="false" customHeight="true" outlineLevel="0" collapsed="false">
      <c r="A771" s="305" t="s">
        <v>1429</v>
      </c>
      <c r="B771" s="175" t="s">
        <v>772</v>
      </c>
      <c r="C771" s="175" t="s">
        <v>138</v>
      </c>
      <c r="D771" s="175" t="s">
        <v>27</v>
      </c>
      <c r="E771" s="175" t="s">
        <v>81</v>
      </c>
      <c r="F771" s="175"/>
    </row>
    <row r="772" customFormat="false" ht="14.25" hidden="false" customHeight="true" outlineLevel="0" collapsed="false">
      <c r="A772" s="213" t="s">
        <v>1430</v>
      </c>
      <c r="B772" s="300" t="s">
        <v>1431</v>
      </c>
      <c r="C772" s="235" t="n">
        <v>72</v>
      </c>
      <c r="D772" s="235" t="n">
        <v>97</v>
      </c>
      <c r="E772" s="235" t="n">
        <v>103</v>
      </c>
    </row>
    <row r="773" customFormat="false" ht="14.25" hidden="false" customHeight="true" outlineLevel="0" collapsed="false">
      <c r="A773" s="213" t="s">
        <v>1432</v>
      </c>
      <c r="B773" s="300" t="s">
        <v>1433</v>
      </c>
      <c r="C773" s="235" t="n">
        <v>72</v>
      </c>
      <c r="D773" s="235" t="n">
        <v>97</v>
      </c>
      <c r="E773" s="235" t="n">
        <v>103</v>
      </c>
    </row>
    <row r="774" customFormat="false" ht="14.25" hidden="false" customHeight="true" outlineLevel="0" collapsed="false">
      <c r="A774" s="213" t="s">
        <v>1434</v>
      </c>
      <c r="B774" s="300" t="s">
        <v>1435</v>
      </c>
      <c r="C774" s="235" t="n">
        <v>72</v>
      </c>
      <c r="D774" s="235" t="n">
        <v>97</v>
      </c>
      <c r="E774" s="235" t="n">
        <v>103</v>
      </c>
    </row>
    <row r="775" customFormat="false" ht="14.25" hidden="false" customHeight="true" outlineLevel="0" collapsed="false">
      <c r="A775" s="213" t="s">
        <v>1436</v>
      </c>
      <c r="B775" s="300" t="s">
        <v>1437</v>
      </c>
      <c r="C775" s="235" t="n">
        <v>72</v>
      </c>
      <c r="D775" s="235" t="n">
        <v>97</v>
      </c>
      <c r="E775" s="235" t="n">
        <v>103</v>
      </c>
    </row>
    <row r="776" customFormat="false" ht="14.25" hidden="false" customHeight="true" outlineLevel="0" collapsed="false">
      <c r="A776" s="213" t="s">
        <v>1438</v>
      </c>
      <c r="B776" s="300" t="s">
        <v>1439</v>
      </c>
      <c r="C776" s="235" t="n">
        <v>72</v>
      </c>
      <c r="D776" s="235" t="n">
        <v>97</v>
      </c>
      <c r="E776" s="235" t="n">
        <v>103</v>
      </c>
    </row>
    <row r="777" customFormat="false" ht="14.25" hidden="false" customHeight="true" outlineLevel="0" collapsed="false">
      <c r="A777" s="213" t="s">
        <v>1440</v>
      </c>
      <c r="B777" s="300" t="s">
        <v>1441</v>
      </c>
      <c r="C777" s="235" t="n">
        <v>72</v>
      </c>
      <c r="D777" s="235" t="n">
        <v>97</v>
      </c>
      <c r="E777" s="235" t="n">
        <v>103</v>
      </c>
    </row>
    <row r="778" customFormat="false" ht="14.25" hidden="false" customHeight="true" outlineLevel="0" collapsed="false">
      <c r="A778" s="213" t="s">
        <v>1442</v>
      </c>
      <c r="B778" s="300" t="s">
        <v>1443</v>
      </c>
      <c r="C778" s="235" t="n">
        <v>72</v>
      </c>
      <c r="D778" s="235" t="n">
        <v>97</v>
      </c>
      <c r="E778" s="235" t="n">
        <v>103</v>
      </c>
    </row>
    <row r="779" customFormat="false" ht="14.25" hidden="false" customHeight="true" outlineLevel="0" collapsed="false">
      <c r="A779" s="213" t="s">
        <v>1444</v>
      </c>
      <c r="B779" s="300" t="s">
        <v>1445</v>
      </c>
      <c r="C779" s="235" t="n">
        <v>72</v>
      </c>
      <c r="D779" s="235" t="n">
        <v>97</v>
      </c>
      <c r="E779" s="235" t="n">
        <v>103</v>
      </c>
    </row>
    <row r="780" customFormat="false" ht="14.25" hidden="false" customHeight="true" outlineLevel="0" collapsed="false">
      <c r="A780" s="213" t="s">
        <v>1446</v>
      </c>
      <c r="B780" s="300" t="s">
        <v>1447</v>
      </c>
      <c r="C780" s="235" t="n">
        <v>72</v>
      </c>
      <c r="D780" s="235" t="n">
        <v>97</v>
      </c>
      <c r="E780" s="235" t="n">
        <v>103</v>
      </c>
    </row>
    <row r="781" customFormat="false" ht="14.25" hidden="false" customHeight="true" outlineLevel="0" collapsed="false">
      <c r="A781" s="213" t="s">
        <v>1448</v>
      </c>
      <c r="B781" s="300" t="s">
        <v>1449</v>
      </c>
      <c r="C781" s="235" t="n">
        <v>72</v>
      </c>
      <c r="D781" s="235" t="n">
        <v>97</v>
      </c>
      <c r="E781" s="235" t="n">
        <v>103</v>
      </c>
    </row>
    <row r="782" customFormat="false" ht="14.25" hidden="false" customHeight="true" outlineLevel="0" collapsed="false">
      <c r="A782" s="213" t="s">
        <v>1450</v>
      </c>
      <c r="B782" s="300" t="s">
        <v>1451</v>
      </c>
      <c r="C782" s="235" t="n">
        <v>72</v>
      </c>
      <c r="D782" s="235" t="n">
        <v>97</v>
      </c>
      <c r="E782" s="235" t="n">
        <v>103</v>
      </c>
    </row>
    <row r="783" customFormat="false" ht="14.25" hidden="false" customHeight="true" outlineLevel="0" collapsed="false">
      <c r="A783" s="213" t="s">
        <v>1452</v>
      </c>
      <c r="B783" s="300" t="s">
        <v>1453</v>
      </c>
      <c r="C783" s="235" t="n">
        <v>72</v>
      </c>
      <c r="D783" s="235" t="n">
        <v>97</v>
      </c>
      <c r="E783" s="235" t="n">
        <v>103</v>
      </c>
    </row>
    <row r="784" customFormat="false" ht="14.25" hidden="false" customHeight="true" outlineLevel="0" collapsed="false">
      <c r="A784" s="213" t="s">
        <v>1454</v>
      </c>
      <c r="B784" s="300" t="s">
        <v>1455</v>
      </c>
      <c r="C784" s="235" t="n">
        <v>72</v>
      </c>
      <c r="D784" s="235" t="n">
        <v>97</v>
      </c>
      <c r="E784" s="235" t="n">
        <v>103</v>
      </c>
    </row>
    <row r="785" customFormat="false" ht="14.25" hidden="false" customHeight="true" outlineLevel="0" collapsed="false">
      <c r="A785" s="213" t="s">
        <v>1456</v>
      </c>
      <c r="B785" s="300" t="s">
        <v>1457</v>
      </c>
      <c r="C785" s="235" t="n">
        <v>72</v>
      </c>
      <c r="D785" s="235" t="n">
        <v>97</v>
      </c>
      <c r="E785" s="235" t="n">
        <v>103</v>
      </c>
    </row>
    <row r="786" customFormat="false" ht="14.25" hidden="false" customHeight="true" outlineLevel="0" collapsed="false">
      <c r="A786" s="213" t="s">
        <v>1458</v>
      </c>
      <c r="B786" s="300" t="s">
        <v>1459</v>
      </c>
      <c r="C786" s="235" t="n">
        <v>72</v>
      </c>
      <c r="D786" s="235" t="n">
        <v>97</v>
      </c>
      <c r="E786" s="235" t="n">
        <v>103</v>
      </c>
    </row>
    <row r="787" customFormat="false" ht="14.25" hidden="false" customHeight="true" outlineLevel="0" collapsed="false">
      <c r="A787" s="213" t="s">
        <v>1460</v>
      </c>
      <c r="B787" s="300" t="s">
        <v>1461</v>
      </c>
      <c r="C787" s="235" t="n">
        <v>72</v>
      </c>
      <c r="D787" s="235" t="n">
        <v>97</v>
      </c>
      <c r="E787" s="235" t="n">
        <v>103</v>
      </c>
    </row>
    <row r="788" customFormat="false" ht="14.25" hidden="false" customHeight="true" outlineLevel="0" collapsed="false">
      <c r="A788" s="213" t="s">
        <v>1462</v>
      </c>
      <c r="B788" s="300" t="s">
        <v>1463</v>
      </c>
      <c r="C788" s="235" t="n">
        <v>72</v>
      </c>
      <c r="D788" s="235" t="n">
        <v>97</v>
      </c>
      <c r="E788" s="235" t="n">
        <v>103</v>
      </c>
    </row>
    <row r="789" customFormat="false" ht="14.25" hidden="false" customHeight="true" outlineLevel="0" collapsed="false">
      <c r="A789" s="213" t="s">
        <v>1464</v>
      </c>
      <c r="B789" s="300" t="s">
        <v>1465</v>
      </c>
      <c r="C789" s="235" t="n">
        <v>72</v>
      </c>
      <c r="D789" s="235" t="n">
        <v>97</v>
      </c>
      <c r="E789" s="235" t="n">
        <v>103</v>
      </c>
    </row>
    <row r="790" customFormat="false" ht="14.25" hidden="false" customHeight="true" outlineLevel="0" collapsed="false">
      <c r="A790" s="213" t="s">
        <v>1466</v>
      </c>
      <c r="B790" s="300" t="s">
        <v>1467</v>
      </c>
      <c r="C790" s="235" t="n">
        <v>72</v>
      </c>
      <c r="D790" s="235" t="n">
        <v>97</v>
      </c>
      <c r="E790" s="235" t="n">
        <v>103</v>
      </c>
    </row>
    <row r="791" customFormat="false" ht="14.25" hidden="false" customHeight="true" outlineLevel="0" collapsed="false">
      <c r="A791" s="213" t="s">
        <v>1468</v>
      </c>
      <c r="B791" s="300" t="s">
        <v>1469</v>
      </c>
      <c r="C791" s="235" t="n">
        <v>72</v>
      </c>
      <c r="D791" s="235" t="n">
        <v>97</v>
      </c>
      <c r="E791" s="235" t="n">
        <v>103</v>
      </c>
    </row>
    <row r="792" customFormat="false" ht="14.25" hidden="false" customHeight="true" outlineLevel="0" collapsed="false">
      <c r="A792" s="213" t="s">
        <v>1470</v>
      </c>
      <c r="B792" s="300" t="s">
        <v>1471</v>
      </c>
      <c r="C792" s="235" t="n">
        <v>72</v>
      </c>
      <c r="D792" s="235" t="n">
        <v>97</v>
      </c>
      <c r="E792" s="235" t="n">
        <v>103</v>
      </c>
    </row>
    <row r="793" customFormat="false" ht="14.25" hidden="false" customHeight="true" outlineLevel="0" collapsed="false">
      <c r="A793" s="213" t="s">
        <v>1472</v>
      </c>
      <c r="B793" s="300" t="s">
        <v>1473</v>
      </c>
      <c r="C793" s="235" t="n">
        <v>72</v>
      </c>
      <c r="D793" s="235" t="n">
        <v>97</v>
      </c>
      <c r="E793" s="235" t="n">
        <v>103</v>
      </c>
    </row>
    <row r="794" customFormat="false" ht="14.25" hidden="false" customHeight="true" outlineLevel="0" collapsed="false">
      <c r="A794" s="213" t="s">
        <v>1474</v>
      </c>
      <c r="B794" s="300" t="s">
        <v>1475</v>
      </c>
      <c r="C794" s="235" t="n">
        <v>72</v>
      </c>
      <c r="D794" s="235" t="n">
        <v>97</v>
      </c>
      <c r="E794" s="235" t="n">
        <v>103</v>
      </c>
    </row>
    <row r="795" customFormat="false" ht="14.25" hidden="false" customHeight="true" outlineLevel="0" collapsed="false">
      <c r="A795" s="213" t="s">
        <v>1476</v>
      </c>
      <c r="B795" s="300" t="s">
        <v>1477</v>
      </c>
      <c r="C795" s="235" t="n">
        <v>72</v>
      </c>
      <c r="D795" s="235" t="n">
        <v>97</v>
      </c>
      <c r="E795" s="235" t="n">
        <v>103</v>
      </c>
    </row>
    <row r="797" customFormat="false" ht="14.25" hidden="false" customHeight="true" outlineLevel="0" collapsed="false">
      <c r="A797" s="305" t="s">
        <v>1478</v>
      </c>
      <c r="B797" s="175" t="s">
        <v>772</v>
      </c>
      <c r="C797" s="175" t="s">
        <v>138</v>
      </c>
      <c r="D797" s="175" t="s">
        <v>27</v>
      </c>
      <c r="E797" s="175" t="s">
        <v>81</v>
      </c>
      <c r="F797" s="175"/>
    </row>
    <row r="798" customFormat="false" ht="14.25" hidden="false" customHeight="true" outlineLevel="0" collapsed="false">
      <c r="A798" s="213" t="s">
        <v>1479</v>
      </c>
      <c r="B798" s="300" t="s">
        <v>1480</v>
      </c>
      <c r="C798" s="235" t="n">
        <v>42</v>
      </c>
      <c r="D798" s="235" t="n">
        <v>54</v>
      </c>
      <c r="E798" s="235" t="n">
        <v>60</v>
      </c>
    </row>
    <row r="799" customFormat="false" ht="14.25" hidden="false" customHeight="true" outlineLevel="0" collapsed="false">
      <c r="A799" s="213" t="s">
        <v>1481</v>
      </c>
      <c r="B799" s="300" t="s">
        <v>1482</v>
      </c>
      <c r="C799" s="235" t="n">
        <v>42</v>
      </c>
      <c r="D799" s="235" t="n">
        <v>54</v>
      </c>
      <c r="E799" s="235" t="n">
        <v>60</v>
      </c>
    </row>
    <row r="800" customFormat="false" ht="14.25" hidden="false" customHeight="true" outlineLevel="0" collapsed="false">
      <c r="A800" s="213" t="s">
        <v>1483</v>
      </c>
      <c r="B800" s="300" t="s">
        <v>1484</v>
      </c>
      <c r="C800" s="235" t="n">
        <v>42</v>
      </c>
      <c r="D800" s="235" t="n">
        <v>54</v>
      </c>
      <c r="E800" s="235" t="n">
        <v>60</v>
      </c>
    </row>
    <row r="801" customFormat="false" ht="14.25" hidden="false" customHeight="true" outlineLevel="0" collapsed="false">
      <c r="A801" s="213" t="s">
        <v>1485</v>
      </c>
      <c r="B801" s="300" t="s">
        <v>1486</v>
      </c>
      <c r="C801" s="235" t="n">
        <v>42</v>
      </c>
      <c r="D801" s="235" t="n">
        <v>54</v>
      </c>
      <c r="E801" s="235" t="n">
        <v>60</v>
      </c>
    </row>
    <row r="802" customFormat="false" ht="14.25" hidden="false" customHeight="true" outlineLevel="0" collapsed="false">
      <c r="A802" s="213" t="s">
        <v>1487</v>
      </c>
      <c r="B802" s="300" t="s">
        <v>1488</v>
      </c>
      <c r="C802" s="235" t="n">
        <v>109</v>
      </c>
      <c r="D802" s="235" t="n">
        <v>140</v>
      </c>
      <c r="E802" s="235" t="n">
        <v>155</v>
      </c>
    </row>
    <row r="803" customFormat="false" ht="14.25" hidden="false" customHeight="true" outlineLevel="0" collapsed="false">
      <c r="A803" s="213" t="s">
        <v>1489</v>
      </c>
      <c r="B803" s="300" t="s">
        <v>1490</v>
      </c>
      <c r="C803" s="235" t="n">
        <v>42</v>
      </c>
      <c r="D803" s="235" t="n">
        <v>54</v>
      </c>
      <c r="E803" s="235" t="n">
        <v>60</v>
      </c>
    </row>
    <row r="804" customFormat="false" ht="14.25" hidden="false" customHeight="true" outlineLevel="0" collapsed="false">
      <c r="A804" s="213" t="s">
        <v>1491</v>
      </c>
      <c r="B804" s="300" t="s">
        <v>1492</v>
      </c>
      <c r="C804" s="235" t="n">
        <v>109</v>
      </c>
      <c r="D804" s="235" t="n">
        <v>140</v>
      </c>
      <c r="E804" s="235" t="n">
        <v>155</v>
      </c>
    </row>
    <row r="805" customFormat="false" ht="14.25" hidden="false" customHeight="true" outlineLevel="0" collapsed="false">
      <c r="A805" s="213" t="s">
        <v>1493</v>
      </c>
      <c r="B805" s="300" t="s">
        <v>1494</v>
      </c>
      <c r="C805" s="235" t="n">
        <v>42</v>
      </c>
      <c r="D805" s="235" t="n">
        <v>54</v>
      </c>
      <c r="E805" s="235" t="n">
        <v>60</v>
      </c>
    </row>
    <row r="806" customFormat="false" ht="14.25" hidden="false" customHeight="true" outlineLevel="0" collapsed="false">
      <c r="A806" s="213" t="s">
        <v>1495</v>
      </c>
      <c r="B806" s="300" t="s">
        <v>1496</v>
      </c>
      <c r="C806" s="235" t="n">
        <v>42</v>
      </c>
      <c r="D806" s="235" t="n">
        <v>54</v>
      </c>
      <c r="E806" s="235" t="n">
        <v>60</v>
      </c>
    </row>
    <row r="807" customFormat="false" ht="14.25" hidden="false" customHeight="true" outlineLevel="0" collapsed="false">
      <c r="A807" s="213" t="s">
        <v>1497</v>
      </c>
      <c r="B807" s="300" t="s">
        <v>1498</v>
      </c>
      <c r="C807" s="235" t="n">
        <v>42</v>
      </c>
      <c r="D807" s="235" t="n">
        <v>54</v>
      </c>
      <c r="E807" s="235" t="n">
        <v>60</v>
      </c>
    </row>
    <row r="808" customFormat="false" ht="14.25" hidden="false" customHeight="true" outlineLevel="0" collapsed="false">
      <c r="A808" s="213" t="s">
        <v>1499</v>
      </c>
      <c r="B808" s="300" t="s">
        <v>1500</v>
      </c>
      <c r="C808" s="235" t="n">
        <v>42</v>
      </c>
      <c r="D808" s="235" t="n">
        <v>54</v>
      </c>
      <c r="E808" s="235" t="n">
        <v>60</v>
      </c>
    </row>
    <row r="809" customFormat="false" ht="14.25" hidden="false" customHeight="true" outlineLevel="0" collapsed="false">
      <c r="A809" s="213" t="s">
        <v>1501</v>
      </c>
      <c r="B809" s="300" t="s">
        <v>1502</v>
      </c>
      <c r="C809" s="235" t="n">
        <v>42</v>
      </c>
      <c r="D809" s="235" t="n">
        <v>54</v>
      </c>
      <c r="E809" s="235" t="n">
        <v>60</v>
      </c>
    </row>
    <row r="810" customFormat="false" ht="14.25" hidden="false" customHeight="true" outlineLevel="0" collapsed="false">
      <c r="A810" s="213" t="s">
        <v>1503</v>
      </c>
      <c r="B810" s="300" t="s">
        <v>1504</v>
      </c>
      <c r="C810" s="235" t="n">
        <v>109</v>
      </c>
      <c r="D810" s="235" t="n">
        <v>140</v>
      </c>
      <c r="E810" s="235" t="n">
        <v>155</v>
      </c>
    </row>
    <row r="811" customFormat="false" ht="14.25" hidden="false" customHeight="true" outlineLevel="0" collapsed="false">
      <c r="A811" s="213" t="s">
        <v>1505</v>
      </c>
      <c r="B811" s="300" t="s">
        <v>1506</v>
      </c>
      <c r="C811" s="235" t="n">
        <v>42</v>
      </c>
      <c r="D811" s="235" t="n">
        <v>54</v>
      </c>
      <c r="E811" s="235" t="n">
        <v>60</v>
      </c>
    </row>
    <row r="812" customFormat="false" ht="14.25" hidden="false" customHeight="true" outlineLevel="0" collapsed="false">
      <c r="A812" s="213" t="s">
        <v>1507</v>
      </c>
      <c r="B812" s="300" t="s">
        <v>1508</v>
      </c>
      <c r="C812" s="235" t="n">
        <v>109</v>
      </c>
      <c r="D812" s="235" t="n">
        <v>140</v>
      </c>
      <c r="E812" s="235" t="n">
        <v>155</v>
      </c>
    </row>
    <row r="814" customFormat="false" ht="14.25" hidden="false" customHeight="true" outlineLevel="0" collapsed="false">
      <c r="A814" s="305" t="s">
        <v>1509</v>
      </c>
      <c r="B814" s="175" t="s">
        <v>772</v>
      </c>
      <c r="C814" s="175" t="s">
        <v>138</v>
      </c>
      <c r="D814" s="175" t="s">
        <v>27</v>
      </c>
      <c r="E814" s="175" t="s">
        <v>81</v>
      </c>
      <c r="F814" s="175"/>
    </row>
    <row r="815" customFormat="false" ht="14.25" hidden="false" customHeight="true" outlineLevel="0" collapsed="false">
      <c r="A815" s="213" t="s">
        <v>1510</v>
      </c>
      <c r="B815" s="300" t="s">
        <v>1511</v>
      </c>
      <c r="C815" s="235" t="n">
        <v>126</v>
      </c>
      <c r="D815" s="235" t="n">
        <v>162</v>
      </c>
      <c r="E815" s="235" t="n">
        <v>180</v>
      </c>
    </row>
    <row r="816" customFormat="false" ht="14.25" hidden="false" customHeight="true" outlineLevel="0" collapsed="false">
      <c r="A816" s="213" t="s">
        <v>1512</v>
      </c>
      <c r="B816" s="300" t="s">
        <v>1513</v>
      </c>
      <c r="C816" s="235" t="n">
        <v>126</v>
      </c>
      <c r="D816" s="235" t="n">
        <v>162</v>
      </c>
      <c r="E816" s="235" t="n">
        <v>180</v>
      </c>
    </row>
    <row r="817" customFormat="false" ht="14.25" hidden="false" customHeight="true" outlineLevel="0" collapsed="false">
      <c r="A817" s="213" t="s">
        <v>1514</v>
      </c>
      <c r="B817" s="300" t="s">
        <v>1515</v>
      </c>
      <c r="C817" s="235" t="n">
        <v>126</v>
      </c>
      <c r="D817" s="235" t="n">
        <v>162</v>
      </c>
      <c r="E817" s="235" t="n">
        <v>180</v>
      </c>
    </row>
    <row r="818" customFormat="false" ht="14.25" hidden="false" customHeight="true" outlineLevel="0" collapsed="false">
      <c r="A818" s="213" t="s">
        <v>1516</v>
      </c>
      <c r="B818" s="300" t="s">
        <v>1517</v>
      </c>
      <c r="C818" s="235" t="n">
        <v>126</v>
      </c>
      <c r="D818" s="235" t="n">
        <v>162</v>
      </c>
      <c r="E818" s="235" t="n">
        <v>180</v>
      </c>
    </row>
    <row r="819" customFormat="false" ht="14.25" hidden="false" customHeight="true" outlineLevel="0" collapsed="false">
      <c r="A819" s="213" t="s">
        <v>1518</v>
      </c>
      <c r="B819" s="300" t="s">
        <v>1519</v>
      </c>
      <c r="C819" s="235" t="n">
        <v>126</v>
      </c>
      <c r="D819" s="235" t="n">
        <v>162</v>
      </c>
      <c r="E819" s="235" t="n">
        <v>180</v>
      </c>
    </row>
    <row r="820" customFormat="false" ht="14.25" hidden="false" customHeight="true" outlineLevel="0" collapsed="false">
      <c r="A820" s="213" t="s">
        <v>1520</v>
      </c>
      <c r="B820" s="300" t="s">
        <v>1521</v>
      </c>
      <c r="C820" s="235" t="n">
        <v>126</v>
      </c>
      <c r="D820" s="235" t="n">
        <v>162</v>
      </c>
      <c r="E820" s="235" t="n">
        <v>180</v>
      </c>
    </row>
    <row r="821" customFormat="false" ht="14.25" hidden="false" customHeight="true" outlineLevel="0" collapsed="false">
      <c r="A821" s="213" t="s">
        <v>1522</v>
      </c>
      <c r="B821" s="300" t="s">
        <v>1523</v>
      </c>
      <c r="C821" s="235" t="n">
        <v>126</v>
      </c>
      <c r="D821" s="235" t="n">
        <v>162</v>
      </c>
      <c r="E821" s="235" t="n">
        <v>180</v>
      </c>
    </row>
    <row r="822" customFormat="false" ht="14.25" hidden="false" customHeight="true" outlineLevel="0" collapsed="false">
      <c r="A822" s="213" t="s">
        <v>1524</v>
      </c>
      <c r="B822" s="300" t="s">
        <v>1525</v>
      </c>
      <c r="C822" s="235" t="n">
        <v>126</v>
      </c>
      <c r="D822" s="235" t="n">
        <v>162</v>
      </c>
      <c r="E822" s="235" t="n">
        <v>180</v>
      </c>
    </row>
    <row r="823" customFormat="false" ht="14.25" hidden="false" customHeight="true" outlineLevel="0" collapsed="false">
      <c r="A823" s="213" t="s">
        <v>1526</v>
      </c>
      <c r="B823" s="300" t="s">
        <v>1527</v>
      </c>
      <c r="C823" s="235" t="n">
        <v>126</v>
      </c>
      <c r="D823" s="235" t="n">
        <v>162</v>
      </c>
      <c r="E823" s="235" t="n">
        <v>180</v>
      </c>
    </row>
    <row r="824" customFormat="false" ht="14.25" hidden="false" customHeight="true" outlineLevel="0" collapsed="false">
      <c r="A824" s="213" t="s">
        <v>1528</v>
      </c>
      <c r="B824" s="300" t="s">
        <v>1529</v>
      </c>
      <c r="C824" s="235" t="n">
        <v>126</v>
      </c>
      <c r="D824" s="235" t="n">
        <v>162</v>
      </c>
      <c r="E824" s="235" t="n">
        <v>180</v>
      </c>
    </row>
    <row r="825" customFormat="false" ht="14.25" hidden="false" customHeight="true" outlineLevel="0" collapsed="false">
      <c r="A825" s="213" t="s">
        <v>1530</v>
      </c>
      <c r="B825" s="300" t="s">
        <v>1531</v>
      </c>
      <c r="C825" s="235" t="n">
        <v>126</v>
      </c>
      <c r="D825" s="235" t="n">
        <v>162</v>
      </c>
      <c r="E825" s="235" t="n">
        <v>180</v>
      </c>
    </row>
    <row r="826" customFormat="false" ht="14.25" hidden="false" customHeight="true" outlineLevel="0" collapsed="false">
      <c r="A826" s="213" t="s">
        <v>1532</v>
      </c>
      <c r="B826" s="300" t="s">
        <v>1533</v>
      </c>
      <c r="C826" s="235" t="n">
        <v>126</v>
      </c>
      <c r="D826" s="235" t="n">
        <v>162</v>
      </c>
      <c r="E826" s="235" t="n">
        <v>180</v>
      </c>
    </row>
    <row r="827" customFormat="false" ht="14.25" hidden="false" customHeight="true" outlineLevel="0" collapsed="false">
      <c r="A827" s="213" t="s">
        <v>1534</v>
      </c>
      <c r="B827" s="300" t="s">
        <v>1535</v>
      </c>
      <c r="C827" s="235" t="n">
        <v>126</v>
      </c>
      <c r="D827" s="235" t="n">
        <v>162</v>
      </c>
      <c r="E827" s="235" t="n">
        <v>180</v>
      </c>
    </row>
    <row r="828" customFormat="false" ht="14.25" hidden="false" customHeight="true" outlineLevel="0" collapsed="false">
      <c r="A828" s="213" t="s">
        <v>1536</v>
      </c>
      <c r="B828" s="300" t="s">
        <v>1537</v>
      </c>
      <c r="C828" s="235" t="n">
        <v>126</v>
      </c>
      <c r="D828" s="235" t="n">
        <v>162</v>
      </c>
      <c r="E828" s="235" t="n">
        <v>180</v>
      </c>
    </row>
    <row r="829" customFormat="false" ht="14.25" hidden="false" customHeight="true" outlineLevel="0" collapsed="false">
      <c r="A829" s="213" t="s">
        <v>1538</v>
      </c>
      <c r="B829" s="300" t="s">
        <v>1539</v>
      </c>
      <c r="C829" s="235" t="n">
        <v>126</v>
      </c>
      <c r="D829" s="235" t="n">
        <v>162</v>
      </c>
      <c r="E829" s="235" t="n">
        <v>180</v>
      </c>
    </row>
    <row r="830" customFormat="false" ht="14.25" hidden="false" customHeight="true" outlineLevel="0" collapsed="false">
      <c r="A830" s="213" t="s">
        <v>1540</v>
      </c>
      <c r="B830" s="300" t="s">
        <v>1541</v>
      </c>
      <c r="C830" s="235" t="n">
        <v>126</v>
      </c>
      <c r="D830" s="235" t="n">
        <v>162</v>
      </c>
      <c r="E830" s="235" t="n">
        <v>180</v>
      </c>
    </row>
    <row r="831" customFormat="false" ht="14.25" hidden="false" customHeight="true" outlineLevel="0" collapsed="false">
      <c r="A831" s="213" t="s">
        <v>1542</v>
      </c>
      <c r="B831" s="300" t="s">
        <v>1543</v>
      </c>
      <c r="C831" s="235" t="n">
        <v>126</v>
      </c>
      <c r="D831" s="235" t="n">
        <v>162</v>
      </c>
      <c r="E831" s="235" t="n">
        <v>180</v>
      </c>
    </row>
    <row r="832" customFormat="false" ht="14.25" hidden="false" customHeight="true" outlineLevel="0" collapsed="false">
      <c r="A832" s="213" t="s">
        <v>1544</v>
      </c>
      <c r="B832" s="300" t="s">
        <v>1545</v>
      </c>
      <c r="C832" s="235" t="n">
        <v>126</v>
      </c>
      <c r="D832" s="235" t="n">
        <v>162</v>
      </c>
      <c r="E832" s="235" t="n">
        <v>180</v>
      </c>
    </row>
    <row r="834" customFormat="false" ht="14.25" hidden="false" customHeight="true" outlineLevel="0" collapsed="false">
      <c r="A834" s="305" t="s">
        <v>1546</v>
      </c>
      <c r="B834" s="175" t="s">
        <v>772</v>
      </c>
      <c r="C834" s="175" t="s">
        <v>138</v>
      </c>
      <c r="D834" s="175" t="s">
        <v>27</v>
      </c>
      <c r="E834" s="175" t="s">
        <v>81</v>
      </c>
      <c r="F834" s="175"/>
    </row>
    <row r="835" customFormat="false" ht="14.25" hidden="false" customHeight="true" outlineLevel="0" collapsed="false">
      <c r="A835" s="213" t="s">
        <v>1547</v>
      </c>
      <c r="B835" s="300" t="s">
        <v>1548</v>
      </c>
      <c r="C835" s="235" t="n">
        <v>24</v>
      </c>
      <c r="D835" s="235" t="n">
        <v>30</v>
      </c>
      <c r="E835" s="235" t="n">
        <v>33</v>
      </c>
    </row>
    <row r="836" customFormat="false" ht="14.25" hidden="false" customHeight="true" outlineLevel="0" collapsed="false">
      <c r="A836" s="213" t="s">
        <v>1549</v>
      </c>
      <c r="B836" s="300" t="s">
        <v>1550</v>
      </c>
      <c r="C836" s="235" t="n">
        <v>24</v>
      </c>
      <c r="D836" s="235" t="n">
        <v>30</v>
      </c>
      <c r="E836" s="235" t="n">
        <v>33</v>
      </c>
    </row>
    <row r="837" customFormat="false" ht="14.25" hidden="false" customHeight="true" outlineLevel="0" collapsed="false">
      <c r="A837" s="213" t="s">
        <v>1551</v>
      </c>
      <c r="B837" s="300" t="s">
        <v>1552</v>
      </c>
      <c r="C837" s="235" t="n">
        <v>24</v>
      </c>
      <c r="D837" s="235" t="n">
        <v>30</v>
      </c>
      <c r="E837" s="235" t="n">
        <v>33</v>
      </c>
    </row>
    <row r="838" customFormat="false" ht="14.25" hidden="false" customHeight="true" outlineLevel="0" collapsed="false">
      <c r="A838" s="213" t="s">
        <v>1553</v>
      </c>
      <c r="B838" s="300" t="s">
        <v>1554</v>
      </c>
      <c r="C838" s="235" t="n">
        <v>24</v>
      </c>
      <c r="D838" s="235" t="n">
        <v>30</v>
      </c>
      <c r="E838" s="235" t="n">
        <v>33</v>
      </c>
    </row>
    <row r="839" customFormat="false" ht="14.25" hidden="false" customHeight="true" outlineLevel="0" collapsed="false">
      <c r="A839" s="213" t="s">
        <v>1555</v>
      </c>
      <c r="B839" s="300" t="s">
        <v>1556</v>
      </c>
      <c r="C839" s="235" t="n">
        <v>24</v>
      </c>
      <c r="D839" s="235" t="n">
        <v>30</v>
      </c>
      <c r="E839" s="235" t="n">
        <v>33</v>
      </c>
    </row>
    <row r="840" customFormat="false" ht="14.25" hidden="false" customHeight="true" outlineLevel="0" collapsed="false">
      <c r="A840" s="213" t="s">
        <v>1557</v>
      </c>
      <c r="B840" s="300" t="s">
        <v>1558</v>
      </c>
      <c r="C840" s="235" t="n">
        <v>24</v>
      </c>
      <c r="D840" s="235" t="n">
        <v>30</v>
      </c>
      <c r="E840" s="235" t="n">
        <v>33</v>
      </c>
    </row>
    <row r="841" customFormat="false" ht="14.25" hidden="false" customHeight="true" outlineLevel="0" collapsed="false">
      <c r="A841" s="213" t="s">
        <v>1559</v>
      </c>
      <c r="B841" s="300" t="s">
        <v>1560</v>
      </c>
      <c r="C841" s="235" t="n">
        <v>24</v>
      </c>
      <c r="D841" s="235" t="n">
        <v>30</v>
      </c>
      <c r="E841" s="235" t="n">
        <v>33</v>
      </c>
    </row>
    <row r="842" customFormat="false" ht="14.25" hidden="false" customHeight="true" outlineLevel="0" collapsed="false">
      <c r="A842" s="213" t="s">
        <v>1561</v>
      </c>
      <c r="B842" s="300" t="s">
        <v>1562</v>
      </c>
      <c r="C842" s="235" t="n">
        <v>24</v>
      </c>
      <c r="D842" s="235" t="n">
        <v>30</v>
      </c>
      <c r="E842" s="235" t="n">
        <v>33</v>
      </c>
    </row>
    <row r="843" customFormat="false" ht="14.25" hidden="false" customHeight="true" outlineLevel="0" collapsed="false">
      <c r="A843" s="213" t="s">
        <v>1563</v>
      </c>
      <c r="B843" s="300" t="s">
        <v>1564</v>
      </c>
      <c r="C843" s="235" t="n">
        <v>24</v>
      </c>
      <c r="D843" s="235" t="n">
        <v>30</v>
      </c>
      <c r="E843" s="235" t="n">
        <v>33</v>
      </c>
    </row>
    <row r="844" customFormat="false" ht="14.25" hidden="false" customHeight="true" outlineLevel="0" collapsed="false">
      <c r="A844" s="213" t="s">
        <v>1565</v>
      </c>
      <c r="B844" s="300" t="s">
        <v>1566</v>
      </c>
      <c r="C844" s="235" t="n">
        <v>24</v>
      </c>
      <c r="D844" s="235" t="n">
        <v>30</v>
      </c>
      <c r="E844" s="235" t="n">
        <v>33</v>
      </c>
    </row>
    <row r="845" customFormat="false" ht="14.25" hidden="false" customHeight="true" outlineLevel="0" collapsed="false">
      <c r="A845" s="213" t="s">
        <v>1567</v>
      </c>
      <c r="B845" s="300" t="s">
        <v>1568</v>
      </c>
      <c r="C845" s="235" t="n">
        <v>24</v>
      </c>
      <c r="D845" s="235" t="n">
        <v>30</v>
      </c>
      <c r="E845" s="235" t="n">
        <v>33</v>
      </c>
    </row>
    <row r="846" customFormat="false" ht="14.25" hidden="false" customHeight="true" outlineLevel="0" collapsed="false">
      <c r="A846" s="213" t="s">
        <v>1569</v>
      </c>
      <c r="B846" s="300" t="s">
        <v>1570</v>
      </c>
      <c r="C846" s="235" t="n">
        <v>24</v>
      </c>
      <c r="D846" s="235" t="n">
        <v>30</v>
      </c>
      <c r="E846" s="235" t="n">
        <v>33</v>
      </c>
    </row>
    <row r="847" customFormat="false" ht="14.25" hidden="false" customHeight="true" outlineLevel="0" collapsed="false">
      <c r="A847" s="213" t="s">
        <v>1571</v>
      </c>
      <c r="B847" s="300" t="s">
        <v>1572</v>
      </c>
      <c r="C847" s="235" t="n">
        <v>24</v>
      </c>
      <c r="D847" s="235" t="n">
        <v>30</v>
      </c>
      <c r="E847" s="235" t="n">
        <v>33</v>
      </c>
    </row>
    <row r="848" customFormat="false" ht="14.25" hidden="false" customHeight="true" outlineLevel="0" collapsed="false">
      <c r="A848" s="213" t="s">
        <v>1573</v>
      </c>
      <c r="B848" s="300" t="s">
        <v>1574</v>
      </c>
      <c r="C848" s="235" t="n">
        <v>24</v>
      </c>
      <c r="D848" s="235" t="n">
        <v>30</v>
      </c>
      <c r="E848" s="235" t="n">
        <v>33</v>
      </c>
    </row>
    <row r="849" customFormat="false" ht="14.25" hidden="false" customHeight="true" outlineLevel="0" collapsed="false">
      <c r="A849" s="213" t="s">
        <v>1575</v>
      </c>
      <c r="B849" s="300" t="s">
        <v>1576</v>
      </c>
      <c r="C849" s="235" t="n">
        <v>24</v>
      </c>
      <c r="D849" s="235" t="n">
        <v>30</v>
      </c>
      <c r="E849" s="235" t="n">
        <v>33</v>
      </c>
    </row>
    <row r="850" customFormat="false" ht="14.25" hidden="false" customHeight="true" outlineLevel="0" collapsed="false">
      <c r="A850" s="213" t="s">
        <v>1577</v>
      </c>
      <c r="B850" s="300" t="s">
        <v>1578</v>
      </c>
      <c r="C850" s="235" t="n">
        <v>24</v>
      </c>
      <c r="D850" s="235" t="n">
        <v>30</v>
      </c>
      <c r="E850" s="235" t="n">
        <v>33</v>
      </c>
    </row>
    <row r="851" customFormat="false" ht="14.25" hidden="false" customHeight="true" outlineLevel="0" collapsed="false">
      <c r="A851" s="213" t="s">
        <v>1579</v>
      </c>
      <c r="B851" s="300" t="s">
        <v>1580</v>
      </c>
      <c r="C851" s="235" t="n">
        <v>24</v>
      </c>
      <c r="D851" s="235" t="n">
        <v>30</v>
      </c>
      <c r="E851" s="235" t="n">
        <v>33</v>
      </c>
    </row>
    <row r="853" customFormat="false" ht="14.25" hidden="false" customHeight="true" outlineLevel="0" collapsed="false">
      <c r="A853" s="305" t="s">
        <v>1581</v>
      </c>
      <c r="B853" s="175" t="s">
        <v>772</v>
      </c>
      <c r="C853" s="175" t="s">
        <v>138</v>
      </c>
      <c r="D853" s="175" t="s">
        <v>27</v>
      </c>
      <c r="E853" s="175" t="s">
        <v>81</v>
      </c>
      <c r="F853" s="175"/>
    </row>
    <row r="854" customFormat="false" ht="14.25" hidden="false" customHeight="true" outlineLevel="0" collapsed="false">
      <c r="A854" s="213" t="s">
        <v>1582</v>
      </c>
      <c r="B854" s="300" t="s">
        <v>1583</v>
      </c>
      <c r="C854" s="235" t="n">
        <v>19</v>
      </c>
      <c r="D854" s="235" t="n">
        <v>24</v>
      </c>
      <c r="E854" s="235" t="n">
        <v>27</v>
      </c>
    </row>
    <row r="855" customFormat="false" ht="14.25" hidden="false" customHeight="true" outlineLevel="0" collapsed="false">
      <c r="A855" s="213" t="s">
        <v>1584</v>
      </c>
      <c r="B855" s="300" t="s">
        <v>1585</v>
      </c>
      <c r="C855" s="235" t="n">
        <v>19</v>
      </c>
      <c r="D855" s="235" t="n">
        <v>24</v>
      </c>
      <c r="E855" s="235" t="n">
        <v>27</v>
      </c>
    </row>
    <row r="856" customFormat="false" ht="14.25" hidden="false" customHeight="true" outlineLevel="0" collapsed="false">
      <c r="A856" s="213" t="s">
        <v>1586</v>
      </c>
      <c r="B856" s="300" t="s">
        <v>1587</v>
      </c>
      <c r="C856" s="235" t="n">
        <v>19</v>
      </c>
      <c r="D856" s="235" t="n">
        <v>24</v>
      </c>
      <c r="E856" s="235" t="n">
        <v>27</v>
      </c>
    </row>
    <row r="858" customFormat="false" ht="14.25" hidden="false" customHeight="true" outlineLevel="0" collapsed="false">
      <c r="A858" s="305" t="s">
        <v>1588</v>
      </c>
      <c r="B858" s="175" t="s">
        <v>772</v>
      </c>
      <c r="C858" s="175" t="s">
        <v>138</v>
      </c>
      <c r="D858" s="175" t="s">
        <v>27</v>
      </c>
      <c r="E858" s="175" t="s">
        <v>81</v>
      </c>
      <c r="F858" s="175"/>
    </row>
    <row r="859" customFormat="false" ht="14.25" hidden="false" customHeight="true" outlineLevel="0" collapsed="false">
      <c r="A859" s="213" t="s">
        <v>1589</v>
      </c>
      <c r="B859" s="300" t="s">
        <v>1590</v>
      </c>
      <c r="C859" s="235" t="n">
        <v>24</v>
      </c>
      <c r="D859" s="235" t="n">
        <v>30</v>
      </c>
      <c r="E859" s="235" t="n">
        <v>33</v>
      </c>
    </row>
    <row r="860" customFormat="false" ht="14.25" hidden="false" customHeight="true" outlineLevel="0" collapsed="false">
      <c r="A860" s="213" t="s">
        <v>1591</v>
      </c>
      <c r="B860" s="300" t="s">
        <v>1592</v>
      </c>
      <c r="C860" s="235" t="n">
        <v>33</v>
      </c>
      <c r="D860" s="235" t="n">
        <v>42</v>
      </c>
      <c r="E860" s="235" t="n">
        <v>46</v>
      </c>
    </row>
    <row r="861" customFormat="false" ht="14.25" hidden="false" customHeight="true" outlineLevel="0" collapsed="false">
      <c r="A861" s="213" t="s">
        <v>1593</v>
      </c>
      <c r="B861" s="300" t="s">
        <v>1594</v>
      </c>
      <c r="C861" s="235" t="n">
        <v>24</v>
      </c>
      <c r="D861" s="235" t="n">
        <v>30</v>
      </c>
      <c r="E861" s="235" t="n">
        <v>33</v>
      </c>
    </row>
    <row r="862" customFormat="false" ht="14.25" hidden="false" customHeight="true" outlineLevel="0" collapsed="false">
      <c r="A862" s="213" t="s">
        <v>1595</v>
      </c>
      <c r="B862" s="300" t="s">
        <v>1596</v>
      </c>
      <c r="C862" s="235" t="n">
        <v>33</v>
      </c>
      <c r="D862" s="235" t="n">
        <v>42</v>
      </c>
      <c r="E862" s="235" t="n">
        <v>46</v>
      </c>
    </row>
    <row r="863" customFormat="false" ht="14.25" hidden="false" customHeight="true" outlineLevel="0" collapsed="false">
      <c r="A863" s="213" t="s">
        <v>1597</v>
      </c>
      <c r="B863" s="300" t="s">
        <v>1598</v>
      </c>
      <c r="C863" s="235" t="n">
        <v>24</v>
      </c>
      <c r="D863" s="235" t="n">
        <v>30</v>
      </c>
      <c r="E863" s="235" t="n">
        <v>33</v>
      </c>
    </row>
    <row r="864" customFormat="false" ht="14.25" hidden="false" customHeight="true" outlineLevel="0" collapsed="false">
      <c r="A864" s="213" t="s">
        <v>1599</v>
      </c>
      <c r="B864" s="300" t="s">
        <v>1600</v>
      </c>
      <c r="C864" s="235" t="n">
        <v>33</v>
      </c>
      <c r="D864" s="235" t="n">
        <v>42</v>
      </c>
      <c r="E864" s="235" t="n">
        <v>46</v>
      </c>
    </row>
    <row r="865" customFormat="false" ht="14.25" hidden="false" customHeight="true" outlineLevel="0" collapsed="false">
      <c r="A865" s="213" t="s">
        <v>1601</v>
      </c>
      <c r="B865" s="300" t="s">
        <v>1602</v>
      </c>
      <c r="C865" s="235" t="n">
        <v>24.5</v>
      </c>
      <c r="D865" s="235" t="n">
        <v>31.5</v>
      </c>
      <c r="E865" s="235" t="n">
        <v>35</v>
      </c>
    </row>
    <row r="866" customFormat="false" ht="14.25" hidden="false" customHeight="true" outlineLevel="0" collapsed="false">
      <c r="A866" s="213" t="s">
        <v>1603</v>
      </c>
      <c r="B866" s="300" t="s">
        <v>1604</v>
      </c>
      <c r="C866" s="235" t="n">
        <v>38.5</v>
      </c>
      <c r="D866" s="235" t="n">
        <v>49.5</v>
      </c>
      <c r="E866" s="235" t="n">
        <v>55</v>
      </c>
    </row>
    <row r="867" customFormat="false" ht="14.25" hidden="false" customHeight="true" outlineLevel="0" collapsed="false">
      <c r="A867" s="213" t="s">
        <v>1605</v>
      </c>
      <c r="B867" s="300" t="s">
        <v>1606</v>
      </c>
      <c r="C867" s="235" t="n">
        <v>24.5</v>
      </c>
      <c r="D867" s="235" t="n">
        <v>31.5</v>
      </c>
      <c r="E867" s="235" t="n">
        <v>35</v>
      </c>
    </row>
    <row r="868" customFormat="false" ht="14.25" hidden="false" customHeight="true" outlineLevel="0" collapsed="false">
      <c r="A868" s="213" t="s">
        <v>1607</v>
      </c>
      <c r="B868" s="300" t="s">
        <v>1608</v>
      </c>
      <c r="C868" s="235" t="n">
        <v>38.5</v>
      </c>
      <c r="D868" s="235" t="n">
        <v>49.5</v>
      </c>
      <c r="E868" s="235" t="n">
        <v>55</v>
      </c>
    </row>
    <row r="869" customFormat="false" ht="14.25" hidden="false" customHeight="true" outlineLevel="0" collapsed="false">
      <c r="A869" s="213" t="s">
        <v>1609</v>
      </c>
      <c r="B869" s="300" t="s">
        <v>1610</v>
      </c>
      <c r="C869" s="235" t="n">
        <v>24.5</v>
      </c>
      <c r="D869" s="235" t="n">
        <v>31.5</v>
      </c>
      <c r="E869" s="235" t="n">
        <v>35</v>
      </c>
    </row>
    <row r="870" customFormat="false" ht="14.25" hidden="false" customHeight="true" outlineLevel="0" collapsed="false">
      <c r="A870" s="213" t="s">
        <v>1611</v>
      </c>
      <c r="B870" s="300" t="s">
        <v>1612</v>
      </c>
      <c r="C870" s="235" t="n">
        <v>38.5</v>
      </c>
      <c r="D870" s="235" t="n">
        <v>49.5</v>
      </c>
      <c r="E870" s="235" t="n">
        <v>55</v>
      </c>
    </row>
    <row r="872" customFormat="false" ht="14.25" hidden="false" customHeight="true" outlineLevel="0" collapsed="false">
      <c r="A872" s="305" t="s">
        <v>1613</v>
      </c>
      <c r="B872" s="175" t="s">
        <v>772</v>
      </c>
      <c r="C872" s="175" t="s">
        <v>138</v>
      </c>
      <c r="D872" s="175" t="s">
        <v>27</v>
      </c>
      <c r="E872" s="175" t="s">
        <v>81</v>
      </c>
      <c r="F872" s="175"/>
    </row>
    <row r="873" customFormat="false" ht="14.25" hidden="false" customHeight="true" outlineLevel="0" collapsed="false">
      <c r="A873" s="213" t="s">
        <v>1614</v>
      </c>
      <c r="B873" s="300" t="s">
        <v>1615</v>
      </c>
      <c r="C873" s="235" t="n">
        <v>105</v>
      </c>
      <c r="D873" s="235" t="n">
        <v>135</v>
      </c>
      <c r="E873" s="235" t="n">
        <v>150</v>
      </c>
    </row>
    <row r="874" customFormat="false" ht="14.25" hidden="false" customHeight="true" outlineLevel="0" collapsed="false">
      <c r="A874" s="213" t="s">
        <v>1616</v>
      </c>
      <c r="B874" s="300" t="s">
        <v>1617</v>
      </c>
      <c r="C874" s="235" t="n">
        <v>105</v>
      </c>
      <c r="D874" s="235" t="n">
        <v>135</v>
      </c>
      <c r="E874" s="235" t="n">
        <v>150</v>
      </c>
    </row>
    <row r="875" customFormat="false" ht="14.25" hidden="false" customHeight="true" outlineLevel="0" collapsed="false">
      <c r="A875" s="213" t="s">
        <v>1618</v>
      </c>
      <c r="B875" s="300" t="s">
        <v>1619</v>
      </c>
      <c r="C875" s="235" t="n">
        <v>105</v>
      </c>
      <c r="D875" s="235" t="n">
        <v>135</v>
      </c>
      <c r="E875" s="235" t="n">
        <v>150</v>
      </c>
    </row>
    <row r="876" customFormat="false" ht="14.25" hidden="false" customHeight="true" outlineLevel="0" collapsed="false">
      <c r="A876" s="213" t="s">
        <v>1620</v>
      </c>
      <c r="B876" s="300" t="s">
        <v>1621</v>
      </c>
      <c r="C876" s="235" t="n">
        <v>105</v>
      </c>
      <c r="D876" s="235" t="n">
        <v>135</v>
      </c>
      <c r="E876" s="235" t="n">
        <v>150</v>
      </c>
    </row>
    <row r="877" customFormat="false" ht="14.25" hidden="false" customHeight="true" outlineLevel="0" collapsed="false">
      <c r="A877" s="213" t="s">
        <v>1622</v>
      </c>
      <c r="B877" s="300" t="s">
        <v>1623</v>
      </c>
      <c r="C877" s="235" t="n">
        <v>105</v>
      </c>
      <c r="D877" s="235" t="n">
        <v>135</v>
      </c>
      <c r="E877" s="235" t="n">
        <v>150</v>
      </c>
    </row>
    <row r="878" customFormat="false" ht="14.25" hidden="false" customHeight="true" outlineLevel="0" collapsed="false">
      <c r="A878" s="213" t="s">
        <v>1624</v>
      </c>
      <c r="B878" s="300" t="s">
        <v>1625</v>
      </c>
      <c r="C878" s="235" t="n">
        <v>105</v>
      </c>
      <c r="D878" s="235" t="n">
        <v>135</v>
      </c>
      <c r="E878" s="235" t="n">
        <v>150</v>
      </c>
    </row>
    <row r="880" customFormat="false" ht="14.25" hidden="false" customHeight="true" outlineLevel="0" collapsed="false">
      <c r="A880" s="305" t="s">
        <v>1626</v>
      </c>
      <c r="B880" s="175" t="s">
        <v>772</v>
      </c>
      <c r="C880" s="175" t="s">
        <v>138</v>
      </c>
      <c r="D880" s="175" t="s">
        <v>27</v>
      </c>
      <c r="E880" s="175" t="s">
        <v>81</v>
      </c>
      <c r="F880" s="175"/>
    </row>
    <row r="881" customFormat="false" ht="14.25" hidden="false" customHeight="true" outlineLevel="0" collapsed="false">
      <c r="A881" s="213" t="s">
        <v>1627</v>
      </c>
      <c r="B881" s="300" t="s">
        <v>1628</v>
      </c>
      <c r="C881" s="235" t="n">
        <v>14</v>
      </c>
      <c r="D881" s="235" t="n">
        <v>16</v>
      </c>
      <c r="E881" s="235" t="n">
        <v>20</v>
      </c>
    </row>
    <row r="882" customFormat="false" ht="14.25" hidden="false" customHeight="true" outlineLevel="0" collapsed="false">
      <c r="A882" s="213" t="s">
        <v>1629</v>
      </c>
      <c r="B882" s="300" t="s">
        <v>1630</v>
      </c>
      <c r="C882" s="235" t="n">
        <v>15</v>
      </c>
      <c r="D882" s="235" t="n">
        <v>17</v>
      </c>
      <c r="E882" s="235" t="n">
        <v>21</v>
      </c>
    </row>
    <row r="883" customFormat="false" ht="14.25" hidden="false" customHeight="true" outlineLevel="0" collapsed="false">
      <c r="A883" s="213" t="s">
        <v>1631</v>
      </c>
      <c r="B883" s="300" t="s">
        <v>1632</v>
      </c>
      <c r="C883" s="235" t="n">
        <v>14</v>
      </c>
      <c r="D883" s="235" t="n">
        <v>18</v>
      </c>
      <c r="E883" s="235" t="n">
        <v>20</v>
      </c>
    </row>
    <row r="884" customFormat="false" ht="14.25" hidden="false" customHeight="true" outlineLevel="0" collapsed="false">
      <c r="A884" s="213" t="s">
        <v>1633</v>
      </c>
      <c r="B884" s="300" t="s">
        <v>1634</v>
      </c>
      <c r="C884" s="235" t="n">
        <v>14</v>
      </c>
      <c r="D884" s="235" t="n">
        <v>18</v>
      </c>
      <c r="E884" s="235" t="n">
        <v>20</v>
      </c>
    </row>
    <row r="885" customFormat="false" ht="14.25" hidden="false" customHeight="true" outlineLevel="0" collapsed="false">
      <c r="A885" s="213" t="s">
        <v>1635</v>
      </c>
      <c r="B885" s="300" t="s">
        <v>1636</v>
      </c>
      <c r="C885" s="235" t="n">
        <v>14</v>
      </c>
      <c r="D885" s="235" t="n">
        <v>18</v>
      </c>
      <c r="E885" s="235" t="n">
        <v>20</v>
      </c>
    </row>
    <row r="886" customFormat="false" ht="14.25" hidden="false" customHeight="true" outlineLevel="0" collapsed="false">
      <c r="A886" s="213" t="s">
        <v>1637</v>
      </c>
      <c r="B886" s="300" t="s">
        <v>1638</v>
      </c>
      <c r="C886" s="235" t="n">
        <v>15</v>
      </c>
      <c r="D886" s="235" t="n">
        <v>17</v>
      </c>
      <c r="E886" s="235" t="n">
        <v>21</v>
      </c>
    </row>
    <row r="887" customFormat="false" ht="14.25" hidden="false" customHeight="true" outlineLevel="0" collapsed="false">
      <c r="A887" s="171"/>
      <c r="B887" s="245"/>
      <c r="C887" s="186"/>
    </row>
    <row r="889" customFormat="false" ht="21" hidden="false" customHeight="true" outlineLevel="0" collapsed="false">
      <c r="A889" s="282" t="s">
        <v>1639</v>
      </c>
      <c r="B889" s="284"/>
      <c r="C889" s="284"/>
      <c r="D889" s="284"/>
      <c r="E889" s="284"/>
    </row>
    <row r="890" customFormat="false" ht="14.25" hidden="false" customHeight="true" outlineLevel="0" collapsed="false">
      <c r="A890" s="307" t="s">
        <v>1640</v>
      </c>
      <c r="B890" s="284"/>
      <c r="C890" s="284"/>
      <c r="D890" s="284"/>
      <c r="E890" s="284"/>
    </row>
    <row r="891" customFormat="false" ht="14.25" hidden="false" customHeight="true" outlineLevel="0" collapsed="false">
      <c r="A891" s="308" t="s">
        <v>1641</v>
      </c>
      <c r="B891" s="309" t="s">
        <v>772</v>
      </c>
      <c r="C891" s="309" t="s">
        <v>4</v>
      </c>
      <c r="D891" s="309" t="s">
        <v>1642</v>
      </c>
      <c r="E891" s="310" t="s">
        <v>638</v>
      </c>
    </row>
    <row r="892" customFormat="false" ht="14.25" hidden="false" customHeight="true" outlineLevel="0" collapsed="false">
      <c r="A892" s="171" t="s">
        <v>1643</v>
      </c>
      <c r="B892" s="311" t="s">
        <v>1644</v>
      </c>
      <c r="C892" s="186" t="n">
        <v>1750</v>
      </c>
      <c r="D892" s="186" t="n">
        <v>1400</v>
      </c>
      <c r="E892" s="312" t="n">
        <f aca="false">1-D892/C892</f>
        <v>0.2</v>
      </c>
    </row>
    <row r="893" customFormat="false" ht="14.25" hidden="false" customHeight="true" outlineLevel="0" collapsed="false">
      <c r="A893" s="171" t="s">
        <v>1645</v>
      </c>
      <c r="B893" s="311" t="s">
        <v>1646</v>
      </c>
      <c r="C893" s="186" t="n">
        <v>1750</v>
      </c>
      <c r="D893" s="186" t="n">
        <v>1400</v>
      </c>
      <c r="E893" s="312" t="n">
        <f aca="false">1-D893/C893</f>
        <v>0.2</v>
      </c>
    </row>
    <row r="894" customFormat="false" ht="14.25" hidden="false" customHeight="true" outlineLevel="0" collapsed="false">
      <c r="A894" s="171" t="s">
        <v>1647</v>
      </c>
      <c r="B894" s="311" t="s">
        <v>1648</v>
      </c>
      <c r="C894" s="186" t="n">
        <v>1750</v>
      </c>
      <c r="D894" s="186" t="n">
        <v>1400</v>
      </c>
      <c r="E894" s="312" t="n">
        <f aca="false">1-D894/C894</f>
        <v>0.2</v>
      </c>
    </row>
    <row r="895" customFormat="false" ht="14.25" hidden="false" customHeight="true" outlineLevel="0" collapsed="false">
      <c r="A895" s="171" t="s">
        <v>1649</v>
      </c>
      <c r="B895" s="311" t="s">
        <v>1650</v>
      </c>
      <c r="C895" s="186" t="n">
        <v>1850</v>
      </c>
      <c r="D895" s="186" t="n">
        <v>1480</v>
      </c>
      <c r="E895" s="312" t="n">
        <f aca="false">1-D895/C895</f>
        <v>0.2</v>
      </c>
    </row>
    <row r="896" customFormat="false" ht="14.25" hidden="false" customHeight="true" outlineLevel="0" collapsed="false">
      <c r="A896" s="171" t="s">
        <v>1651</v>
      </c>
      <c r="B896" s="311" t="s">
        <v>1652</v>
      </c>
      <c r="C896" s="186" t="n">
        <v>1750</v>
      </c>
      <c r="D896" s="186" t="n">
        <v>1400</v>
      </c>
      <c r="E896" s="312" t="n">
        <f aca="false">1-D896/C896</f>
        <v>0.2</v>
      </c>
    </row>
    <row r="897" customFormat="false" ht="14.25" hidden="false" customHeight="true" outlineLevel="0" collapsed="false">
      <c r="A897" s="171" t="s">
        <v>1653</v>
      </c>
      <c r="B897" s="311" t="s">
        <v>1654</v>
      </c>
      <c r="C897" s="186" t="n">
        <v>1750</v>
      </c>
      <c r="D897" s="186" t="n">
        <v>1400</v>
      </c>
      <c r="E897" s="312" t="n">
        <f aca="false">1-D897/C897</f>
        <v>0.2</v>
      </c>
    </row>
    <row r="898" customFormat="false" ht="14.25" hidden="false" customHeight="true" outlineLevel="0" collapsed="false">
      <c r="A898" s="171" t="s">
        <v>1655</v>
      </c>
      <c r="B898" s="311" t="s">
        <v>1656</v>
      </c>
      <c r="C898" s="186" t="n">
        <v>1950</v>
      </c>
      <c r="D898" s="186" t="n">
        <v>1560</v>
      </c>
      <c r="E898" s="312" t="n">
        <f aca="false">1-D898/C898</f>
        <v>0.2</v>
      </c>
    </row>
    <row r="899" customFormat="false" ht="14.25" hidden="false" customHeight="true" outlineLevel="0" collapsed="false">
      <c r="A899" s="171" t="s">
        <v>1657</v>
      </c>
      <c r="B899" s="311" t="s">
        <v>1658</v>
      </c>
      <c r="C899" s="186" t="n">
        <v>1950</v>
      </c>
      <c r="D899" s="186" t="n">
        <v>1560</v>
      </c>
      <c r="E899" s="312" t="n">
        <f aca="false">1-D899/C899</f>
        <v>0.2</v>
      </c>
    </row>
    <row r="900" customFormat="false" ht="14.25" hidden="false" customHeight="true" outlineLevel="0" collapsed="false">
      <c r="A900" s="171" t="s">
        <v>1659</v>
      </c>
      <c r="B900" s="311" t="s">
        <v>1660</v>
      </c>
      <c r="C900" s="186" t="n">
        <v>1950</v>
      </c>
      <c r="D900" s="186" t="n">
        <v>1560</v>
      </c>
      <c r="E900" s="312" t="n">
        <f aca="false">1-D900/C900</f>
        <v>0.2</v>
      </c>
    </row>
    <row r="901" customFormat="false" ht="14.25" hidden="false" customHeight="true" outlineLevel="0" collapsed="false">
      <c r="A901" s="171" t="s">
        <v>1661</v>
      </c>
      <c r="B901" s="311" t="s">
        <v>1662</v>
      </c>
      <c r="C901" s="186" t="n">
        <v>2050</v>
      </c>
      <c r="D901" s="186" t="n">
        <v>1640</v>
      </c>
      <c r="E901" s="312" t="n">
        <f aca="false">1-D901/C901</f>
        <v>0.2</v>
      </c>
    </row>
    <row r="902" customFormat="false" ht="14.25" hidden="false" customHeight="true" outlineLevel="0" collapsed="false">
      <c r="A902" s="171" t="s">
        <v>1663</v>
      </c>
      <c r="B902" s="311" t="s">
        <v>1664</v>
      </c>
      <c r="C902" s="186" t="n">
        <v>2200</v>
      </c>
      <c r="D902" s="186" t="n">
        <v>1760</v>
      </c>
      <c r="E902" s="312" t="n">
        <f aca="false">1-D902/C902</f>
        <v>0.2</v>
      </c>
    </row>
    <row r="903" customFormat="false" ht="14.25" hidden="false" customHeight="true" outlineLevel="0" collapsed="false">
      <c r="A903" s="171" t="s">
        <v>1665</v>
      </c>
      <c r="B903" s="311" t="s">
        <v>1666</v>
      </c>
      <c r="C903" s="186" t="n">
        <v>2300</v>
      </c>
      <c r="D903" s="186" t="n">
        <v>1840</v>
      </c>
      <c r="E903" s="312" t="n">
        <f aca="false">1-D903/C903</f>
        <v>0.2</v>
      </c>
    </row>
    <row r="904" customFormat="false" ht="14.25" hidden="false" customHeight="true" outlineLevel="0" collapsed="false">
      <c r="A904" s="171" t="s">
        <v>1667</v>
      </c>
      <c r="B904" s="311" t="s">
        <v>1668</v>
      </c>
      <c r="C904" s="186" t="n">
        <v>2150</v>
      </c>
      <c r="D904" s="186" t="n">
        <v>1720</v>
      </c>
      <c r="E904" s="312" t="n">
        <f aca="false">1-D904/C904</f>
        <v>0.2</v>
      </c>
    </row>
    <row r="905" customFormat="false" ht="14.25" hidden="false" customHeight="true" outlineLevel="0" collapsed="false">
      <c r="A905" s="171" t="s">
        <v>1669</v>
      </c>
      <c r="B905" s="311" t="s">
        <v>1670</v>
      </c>
      <c r="C905" s="186" t="n">
        <v>2150</v>
      </c>
      <c r="D905" s="186" t="n">
        <v>1720</v>
      </c>
      <c r="E905" s="312" t="n">
        <f aca="false">1-D905/C905</f>
        <v>0.2</v>
      </c>
    </row>
    <row r="906" customFormat="false" ht="14.25" hidden="false" customHeight="true" outlineLevel="0" collapsed="false">
      <c r="A906" s="171" t="s">
        <v>1671</v>
      </c>
      <c r="B906" s="311" t="s">
        <v>1672</v>
      </c>
      <c r="C906" s="186" t="n">
        <v>2150</v>
      </c>
      <c r="D906" s="186" t="n">
        <v>1720</v>
      </c>
      <c r="E906" s="312" t="n">
        <f aca="false">1-D906/C906</f>
        <v>0.2</v>
      </c>
    </row>
    <row r="907" customFormat="false" ht="14.25" hidden="false" customHeight="true" outlineLevel="0" collapsed="false">
      <c r="A907" s="171" t="s">
        <v>1673</v>
      </c>
      <c r="B907" s="311" t="s">
        <v>1674</v>
      </c>
      <c r="C907" s="186" t="n">
        <v>2250</v>
      </c>
      <c r="D907" s="186" t="n">
        <v>1800</v>
      </c>
      <c r="E907" s="312" t="n">
        <f aca="false">1-D907/C907</f>
        <v>0.2</v>
      </c>
    </row>
    <row r="908" customFormat="false" ht="14.25" hidden="false" customHeight="true" outlineLevel="0" collapsed="false">
      <c r="A908" s="171" t="s">
        <v>1675</v>
      </c>
      <c r="B908" s="311" t="s">
        <v>1676</v>
      </c>
      <c r="C908" s="186" t="n">
        <v>2400</v>
      </c>
      <c r="D908" s="186" t="n">
        <v>1920</v>
      </c>
      <c r="E908" s="312" t="n">
        <f aca="false">1-D908/C908</f>
        <v>0.2</v>
      </c>
    </row>
    <row r="909" customFormat="false" ht="14.25" hidden="false" customHeight="true" outlineLevel="0" collapsed="false">
      <c r="A909" s="171" t="s">
        <v>1677</v>
      </c>
      <c r="B909" s="311" t="s">
        <v>1678</v>
      </c>
      <c r="C909" s="186" t="n">
        <v>2500</v>
      </c>
      <c r="D909" s="186" t="n">
        <v>2000</v>
      </c>
      <c r="E909" s="312" t="n">
        <f aca="false">1-D909/C909</f>
        <v>0.2</v>
      </c>
    </row>
    <row r="910" customFormat="false" ht="14.25" hidden="false" customHeight="true" outlineLevel="0" collapsed="false">
      <c r="A910" s="171" t="s">
        <v>1679</v>
      </c>
      <c r="B910" s="311" t="s">
        <v>1680</v>
      </c>
      <c r="C910" s="186" t="n">
        <v>1900</v>
      </c>
      <c r="D910" s="186" t="n">
        <v>1520</v>
      </c>
      <c r="E910" s="312" t="n">
        <f aca="false">1-D910/C910</f>
        <v>0.2</v>
      </c>
    </row>
    <row r="911" customFormat="false" ht="14.25" hidden="false" customHeight="true" outlineLevel="0" collapsed="false">
      <c r="A911" s="171" t="s">
        <v>1681</v>
      </c>
      <c r="B911" s="311" t="s">
        <v>1682</v>
      </c>
      <c r="C911" s="186" t="n">
        <v>1900</v>
      </c>
      <c r="D911" s="186" t="n">
        <v>1520</v>
      </c>
      <c r="E911" s="312" t="n">
        <f aca="false">1-D911/C911</f>
        <v>0.2</v>
      </c>
    </row>
    <row r="912" customFormat="false" ht="14.25" hidden="false" customHeight="true" outlineLevel="0" collapsed="false">
      <c r="A912" s="171" t="s">
        <v>1683</v>
      </c>
      <c r="B912" s="311" t="s">
        <v>1684</v>
      </c>
      <c r="C912" s="186" t="n">
        <v>2100</v>
      </c>
      <c r="D912" s="186" t="n">
        <v>1680</v>
      </c>
      <c r="E912" s="312" t="n">
        <f aca="false">1-D912/C912</f>
        <v>0.2</v>
      </c>
    </row>
    <row r="913" customFormat="false" ht="14.25" hidden="false" customHeight="true" outlineLevel="0" collapsed="false">
      <c r="A913" s="257" t="s">
        <v>1685</v>
      </c>
      <c r="B913" s="313" t="s">
        <v>1686</v>
      </c>
      <c r="C913" s="193" t="n">
        <v>2100</v>
      </c>
      <c r="D913" s="193" t="n">
        <v>1680</v>
      </c>
      <c r="E913" s="312" t="n">
        <f aca="false">1-D913/C913</f>
        <v>0.2</v>
      </c>
    </row>
    <row r="914" customFormat="false" ht="14.25" hidden="false" customHeight="true" outlineLevel="0" collapsed="false">
      <c r="A914" s="171"/>
      <c r="B914" s="171"/>
      <c r="C914" s="171"/>
      <c r="D914" s="171"/>
      <c r="E914" s="171"/>
    </row>
    <row r="916" customFormat="false" ht="18" hidden="false" customHeight="true" outlineLevel="0" collapsed="false">
      <c r="A916" s="314" t="s">
        <v>1687</v>
      </c>
      <c r="B916" s="315"/>
      <c r="C916" s="315"/>
      <c r="D916" s="315"/>
      <c r="E916" s="315"/>
      <c r="F916" s="315"/>
      <c r="G916" s="315"/>
    </row>
    <row r="917" customFormat="false" ht="15" hidden="false" customHeight="true" outlineLevel="0" collapsed="false">
      <c r="A917" s="316" t="s">
        <v>1688</v>
      </c>
      <c r="B917" s="317"/>
      <c r="C917" s="317"/>
      <c r="D917" s="317"/>
      <c r="E917" s="317"/>
      <c r="F917" s="317"/>
      <c r="G917" s="317"/>
    </row>
    <row r="918" customFormat="false" ht="15" hidden="false" customHeight="true" outlineLevel="0" collapsed="false">
      <c r="A918" s="316" t="s">
        <v>1689</v>
      </c>
      <c r="B918" s="317"/>
      <c r="C918" s="317"/>
      <c r="D918" s="317"/>
      <c r="E918" s="317"/>
      <c r="F918" s="317"/>
      <c r="G918" s="317"/>
    </row>
    <row r="919" customFormat="false" ht="14.25" hidden="false" customHeight="true" outlineLevel="0" collapsed="false">
      <c r="A919" s="318" t="s">
        <v>3</v>
      </c>
      <c r="B919" s="319" t="s">
        <v>81</v>
      </c>
      <c r="C919" s="319" t="s">
        <v>115</v>
      </c>
      <c r="D919" s="319" t="s">
        <v>638</v>
      </c>
      <c r="E919" s="319" t="s">
        <v>7</v>
      </c>
    </row>
    <row r="920" customFormat="false" ht="14.25" hidden="false" customHeight="true" outlineLevel="0" collapsed="false">
      <c r="A920" s="320" t="s">
        <v>116</v>
      </c>
      <c r="B920" s="320" t="n">
        <v>890</v>
      </c>
      <c r="C920" s="320" t="n">
        <f aca="false">B920*0.8</f>
        <v>712</v>
      </c>
      <c r="D920" s="321" t="s">
        <v>640</v>
      </c>
      <c r="E920" s="322" t="s">
        <v>1690</v>
      </c>
    </row>
    <row r="921" customFormat="false" ht="14.25" hidden="false" customHeight="true" outlineLevel="0" collapsed="false">
      <c r="A921" s="323" t="s">
        <v>118</v>
      </c>
      <c r="B921" s="323" t="n">
        <v>905</v>
      </c>
      <c r="C921" s="323" t="n">
        <f aca="false">B921*0.8</f>
        <v>724</v>
      </c>
      <c r="D921" s="324" t="s">
        <v>640</v>
      </c>
      <c r="E921" s="325" t="s">
        <v>1690</v>
      </c>
    </row>
    <row r="922" customFormat="false" ht="14.25" hidden="false" customHeight="true" outlineLevel="0" collapsed="false">
      <c r="A922" s="320" t="s">
        <v>119</v>
      </c>
      <c r="B922" s="320" t="n">
        <v>948</v>
      </c>
      <c r="C922" s="320" t="n">
        <f aca="false">B922*0.8</f>
        <v>758.4</v>
      </c>
      <c r="D922" s="321" t="s">
        <v>640</v>
      </c>
      <c r="E922" s="322" t="s">
        <v>120</v>
      </c>
    </row>
    <row r="923" customFormat="false" ht="15" hidden="false" customHeight="true" outlineLevel="0" collapsed="false">
      <c r="A923" s="316" t="s">
        <v>1691</v>
      </c>
      <c r="B923" s="317"/>
      <c r="C923" s="317"/>
      <c r="D923" s="317"/>
      <c r="E923" s="317"/>
      <c r="F923" s="317"/>
      <c r="G923" s="317"/>
    </row>
    <row r="924" customFormat="false" ht="14.25" hidden="false" customHeight="true" outlineLevel="0" collapsed="false">
      <c r="A924" s="318" t="s">
        <v>3</v>
      </c>
      <c r="B924" s="319" t="s">
        <v>81</v>
      </c>
      <c r="C924" s="319" t="s">
        <v>115</v>
      </c>
      <c r="D924" s="319" t="s">
        <v>638</v>
      </c>
      <c r="E924" s="319" t="s">
        <v>7</v>
      </c>
    </row>
    <row r="925" customFormat="false" ht="14.25" hidden="false" customHeight="true" outlineLevel="0" collapsed="false">
      <c r="A925" s="323" t="s">
        <v>121</v>
      </c>
      <c r="B925" s="323" t="n">
        <v>1098</v>
      </c>
      <c r="C925" s="323" t="n">
        <f aca="false">B925*0.8</f>
        <v>878.4</v>
      </c>
      <c r="D925" s="324" t="s">
        <v>640</v>
      </c>
      <c r="E925" s="325" t="s">
        <v>1692</v>
      </c>
    </row>
    <row r="926" customFormat="false" ht="14.25" hidden="false" customHeight="true" outlineLevel="0" collapsed="false">
      <c r="A926" s="320" t="s">
        <v>123</v>
      </c>
      <c r="B926" s="320" t="n">
        <v>1098</v>
      </c>
      <c r="C926" s="320" t="n">
        <f aca="false">B926*0.8</f>
        <v>878.4</v>
      </c>
      <c r="D926" s="321" t="s">
        <v>640</v>
      </c>
      <c r="E926" s="322" t="s">
        <v>124</v>
      </c>
    </row>
    <row r="927" customFormat="false" ht="14.25" hidden="false" customHeight="true" outlineLevel="0" collapsed="false">
      <c r="A927" s="323" t="s">
        <v>125</v>
      </c>
      <c r="B927" s="323" t="n">
        <v>1190</v>
      </c>
      <c r="C927" s="323" t="n">
        <f aca="false">B927*0.8</f>
        <v>952</v>
      </c>
      <c r="D927" s="324" t="s">
        <v>640</v>
      </c>
      <c r="E927" s="325" t="s">
        <v>1693</v>
      </c>
    </row>
    <row r="928" customFormat="false" ht="14.25" hidden="false" customHeight="true" outlineLevel="0" collapsed="false">
      <c r="A928" s="320" t="s">
        <v>1694</v>
      </c>
      <c r="B928" s="320" t="n">
        <v>1190</v>
      </c>
      <c r="C928" s="320" t="n">
        <f aca="false">B928*0.8</f>
        <v>952</v>
      </c>
      <c r="D928" s="321" t="s">
        <v>640</v>
      </c>
      <c r="E928" s="322" t="s">
        <v>1695</v>
      </c>
    </row>
    <row r="929" customFormat="false" ht="14.25" hidden="false" customHeight="true" outlineLevel="0" collapsed="false">
      <c r="A929" s="323" t="s">
        <v>128</v>
      </c>
      <c r="B929" s="323" t="n">
        <v>1295</v>
      </c>
      <c r="C929" s="323" t="n">
        <f aca="false">B929*0.8</f>
        <v>1036</v>
      </c>
      <c r="D929" s="324" t="s">
        <v>640</v>
      </c>
      <c r="E929" s="325" t="s">
        <v>1696</v>
      </c>
    </row>
    <row r="930" customFormat="false" ht="14.25" hidden="false" customHeight="true" outlineLevel="0" collapsed="false">
      <c r="A930" s="320" t="s">
        <v>130</v>
      </c>
      <c r="B930" s="320" t="n">
        <v>1320</v>
      </c>
      <c r="C930" s="320" t="n">
        <f aca="false">B930*0.8</f>
        <v>1056</v>
      </c>
      <c r="D930" s="321" t="s">
        <v>640</v>
      </c>
      <c r="E930" s="322" t="s">
        <v>1697</v>
      </c>
    </row>
    <row r="931" customFormat="false" ht="14.25" hidden="false" customHeight="true" outlineLevel="0" collapsed="false">
      <c r="A931" s="323" t="s">
        <v>1698</v>
      </c>
      <c r="B931" s="323" t="n">
        <v>1325</v>
      </c>
      <c r="C931" s="323" t="n">
        <f aca="false">B931*0.8</f>
        <v>1060</v>
      </c>
      <c r="D931" s="324" t="s">
        <v>640</v>
      </c>
      <c r="E931" s="325" t="s">
        <v>1699</v>
      </c>
    </row>
    <row r="932" customFormat="false" ht="14.25" hidden="false" customHeight="true" outlineLevel="0" collapsed="false">
      <c r="A932" s="326" t="s">
        <v>1700</v>
      </c>
      <c r="B932" s="317"/>
      <c r="C932" s="317"/>
      <c r="D932" s="317"/>
      <c r="E932" s="317"/>
      <c r="F932" s="317"/>
      <c r="G932" s="317"/>
    </row>
    <row r="933" customFormat="false" ht="14.25" hidden="false" customHeight="true" outlineLevel="0" collapsed="false">
      <c r="A933" s="327" t="s">
        <v>1701</v>
      </c>
      <c r="B933" s="327" t="s">
        <v>81</v>
      </c>
      <c r="C933" s="327" t="s">
        <v>115</v>
      </c>
      <c r="D933" s="327" t="s">
        <v>638</v>
      </c>
      <c r="E933" s="327" t="s">
        <v>7</v>
      </c>
    </row>
    <row r="934" customFormat="false" ht="14.25" hidden="false" customHeight="true" outlineLevel="0" collapsed="false">
      <c r="A934" s="323" t="s">
        <v>1702</v>
      </c>
      <c r="B934" s="323" t="n">
        <v>50</v>
      </c>
      <c r="C934" s="323" t="n">
        <f aca="false">B934*0.8</f>
        <v>40</v>
      </c>
      <c r="D934" s="324" t="s">
        <v>640</v>
      </c>
      <c r="E934" s="324" t="s">
        <v>1703</v>
      </c>
    </row>
    <row r="935" customFormat="false" ht="18" hidden="false" customHeight="true" outlineLevel="0" collapsed="false">
      <c r="A935" s="323" t="s">
        <v>1704</v>
      </c>
      <c r="B935" s="323" t="n">
        <v>200</v>
      </c>
      <c r="C935" s="323" t="n">
        <v>200</v>
      </c>
      <c r="D935" s="328" t="s">
        <v>1705</v>
      </c>
      <c r="E935" s="324" t="s">
        <v>1706</v>
      </c>
    </row>
    <row r="936" customFormat="false" ht="13.5" hidden="false" customHeight="true" outlineLevel="0" collapsed="false">
      <c r="C936" s="292"/>
      <c r="D936" s="236"/>
    </row>
    <row r="937" customFormat="false" ht="13.5" hidden="false" customHeight="true" outlineLevel="0" collapsed="false"/>
    <row r="938" customFormat="false" ht="13.5" hidden="false" customHeight="true" outlineLevel="0" collapsed="false">
      <c r="A938" s="329" t="s">
        <v>1707</v>
      </c>
      <c r="B938" s="330"/>
      <c r="C938" s="330"/>
      <c r="D938" s="330"/>
      <c r="E938" s="330"/>
      <c r="F938" s="330"/>
      <c r="G938" s="330"/>
    </row>
    <row r="939" customFormat="false" ht="14.25" hidden="false" customHeight="true" outlineLevel="0" collapsed="false">
      <c r="A939" s="331" t="s">
        <v>1708</v>
      </c>
      <c r="B939" s="332"/>
      <c r="C939" s="332"/>
      <c r="D939" s="332"/>
      <c r="E939" s="332"/>
      <c r="F939" s="332"/>
      <c r="G939" s="332"/>
    </row>
    <row r="940" customFormat="false" ht="14.25" hidden="false" customHeight="true" outlineLevel="0" collapsed="false">
      <c r="A940" s="331" t="s">
        <v>1709</v>
      </c>
      <c r="B940" s="332"/>
      <c r="C940" s="332"/>
      <c r="D940" s="332"/>
      <c r="E940" s="332"/>
      <c r="F940" s="332"/>
      <c r="G940" s="332"/>
    </row>
    <row r="941" customFormat="false" ht="14.25" hidden="false" customHeight="true" outlineLevel="0" collapsed="false">
      <c r="A941" s="331" t="s">
        <v>1710</v>
      </c>
      <c r="B941" s="332"/>
      <c r="C941" s="332"/>
      <c r="D941" s="332"/>
      <c r="E941" s="332"/>
      <c r="F941" s="332"/>
      <c r="G941" s="332"/>
    </row>
    <row r="942" customFormat="false" ht="14.25" hidden="false" customHeight="true" outlineLevel="0" collapsed="false">
      <c r="A942" s="333" t="s">
        <v>534</v>
      </c>
      <c r="B942" s="334" t="s">
        <v>81</v>
      </c>
      <c r="C942" s="334" t="s">
        <v>1711</v>
      </c>
      <c r="D942" s="334" t="s">
        <v>1712</v>
      </c>
      <c r="E942" s="334" t="s">
        <v>1713</v>
      </c>
      <c r="F942" s="334" t="s">
        <v>7</v>
      </c>
    </row>
    <row r="943" customFormat="false" ht="14.25" hidden="false" customHeight="true" outlineLevel="0" collapsed="false">
      <c r="A943" s="335" t="s">
        <v>1714</v>
      </c>
      <c r="B943" s="335" t="n">
        <v>465</v>
      </c>
      <c r="C943" s="335" t="n">
        <f aca="false">B940*0.95</f>
        <v>0</v>
      </c>
      <c r="D943" s="335" t="n">
        <f aca="false">B940*0.9</f>
        <v>0</v>
      </c>
      <c r="E943" s="335" t="n">
        <f aca="false">B940*0.85</f>
        <v>0</v>
      </c>
      <c r="F943" s="335" t="s">
        <v>1715</v>
      </c>
    </row>
    <row r="944" customFormat="false" ht="14.25" hidden="false" customHeight="true" outlineLevel="0" collapsed="false">
      <c r="A944" s="323" t="s">
        <v>1716</v>
      </c>
      <c r="B944" s="323" t="n">
        <v>535</v>
      </c>
      <c r="C944" s="323" t="n">
        <f aca="false">B941*0.95</f>
        <v>0</v>
      </c>
      <c r="D944" s="323" t="n">
        <f aca="false">B941*0.9</f>
        <v>0</v>
      </c>
      <c r="E944" s="323" t="n">
        <f aca="false">B941*0.85</f>
        <v>0</v>
      </c>
      <c r="F944" s="323" t="s">
        <v>1717</v>
      </c>
    </row>
    <row r="945" customFormat="false" ht="14.25" hidden="false" customHeight="true" outlineLevel="0" collapsed="false">
      <c r="A945" s="335" t="s">
        <v>1718</v>
      </c>
      <c r="B945" s="335" t="n">
        <v>10</v>
      </c>
      <c r="C945" s="335" t="n">
        <f aca="false">B945*0.95</f>
        <v>9.5</v>
      </c>
      <c r="D945" s="335" t="n">
        <f aca="false">B945*0.9</f>
        <v>9</v>
      </c>
      <c r="E945" s="335" t="n">
        <f aca="false">B945*0.85</f>
        <v>8.5</v>
      </c>
      <c r="F945" s="335" t="s">
        <v>1719</v>
      </c>
    </row>
    <row r="946" customFormat="false" ht="14.25" hidden="false" customHeight="true" outlineLevel="0" collapsed="false">
      <c r="A946" s="323" t="s">
        <v>1720</v>
      </c>
      <c r="B946" s="323" t="n">
        <v>20</v>
      </c>
      <c r="C946" s="323" t="n">
        <f aca="false">B943*0.95</f>
        <v>441.75</v>
      </c>
      <c r="D946" s="323" t="n">
        <f aca="false">B943*0.9</f>
        <v>418.5</v>
      </c>
      <c r="E946" s="323" t="n">
        <f aca="false">B943*0.85</f>
        <v>395.25</v>
      </c>
      <c r="F946" s="323" t="s">
        <v>1721</v>
      </c>
    </row>
    <row r="947" customFormat="false" ht="14.25" hidden="false" customHeight="true" outlineLevel="0" collapsed="false">
      <c r="A947" s="335" t="s">
        <v>1722</v>
      </c>
      <c r="B947" s="335" t="n">
        <v>40</v>
      </c>
      <c r="C947" s="335" t="n">
        <f aca="false">B944*0.95</f>
        <v>508.25</v>
      </c>
      <c r="D947" s="335" t="n">
        <f aca="false">B944*0.9</f>
        <v>481.5</v>
      </c>
      <c r="E947" s="335" t="n">
        <f aca="false">B944*0.85</f>
        <v>454.75</v>
      </c>
      <c r="F947" s="335" t="s">
        <v>1723</v>
      </c>
    </row>
    <row r="948" customFormat="false" ht="14.25" hidden="false" customHeight="true" outlineLevel="0" collapsed="false">
      <c r="A948" s="323" t="s">
        <v>1724</v>
      </c>
      <c r="B948" s="323" t="n">
        <v>95</v>
      </c>
      <c r="C948" s="323" t="n">
        <f aca="false">B945*0.95</f>
        <v>9.5</v>
      </c>
      <c r="D948" s="323" t="n">
        <f aca="false">B945*0.9</f>
        <v>9</v>
      </c>
      <c r="E948" s="323" t="n">
        <f aca="false">B945*0.85</f>
        <v>8.5</v>
      </c>
      <c r="F948" s="323" t="s">
        <v>1725</v>
      </c>
    </row>
    <row r="949" customFormat="false" ht="13.5" hidden="false" customHeight="true" outlineLevel="0" collapsed="false">
      <c r="A949" s="335" t="s">
        <v>1726</v>
      </c>
      <c r="B949" s="335" t="n">
        <v>170</v>
      </c>
      <c r="C949" s="335" t="n">
        <f aca="false">B946*0.95</f>
        <v>19</v>
      </c>
      <c r="D949" s="335" t="n">
        <f aca="false">B946*0.9</f>
        <v>18</v>
      </c>
      <c r="E949" s="335" t="n">
        <f aca="false">B946*0.85</f>
        <v>17</v>
      </c>
      <c r="F949" s="335" t="s">
        <v>1725</v>
      </c>
    </row>
    <row r="950" customFormat="false" ht="14.25" hidden="false" customHeight="true" outlineLevel="0" collapsed="false">
      <c r="A950" s="323" t="s">
        <v>1727</v>
      </c>
      <c r="B950" s="323" t="n">
        <v>420</v>
      </c>
      <c r="C950" s="323" t="n">
        <f aca="false">B947*0.95</f>
        <v>38</v>
      </c>
      <c r="D950" s="323" t="n">
        <f aca="false">B947*0.9</f>
        <v>36</v>
      </c>
      <c r="E950" s="323" t="n">
        <f aca="false">B947*0.85</f>
        <v>34</v>
      </c>
      <c r="F950" s="323" t="s">
        <v>1725</v>
      </c>
    </row>
    <row r="952" customFormat="false" ht="14.25" hidden="false" customHeight="true" outlineLevel="0" collapsed="false">
      <c r="A952" s="331" t="s">
        <v>1728</v>
      </c>
      <c r="B952" s="332"/>
      <c r="C952" s="332"/>
      <c r="D952" s="332"/>
      <c r="E952" s="332"/>
      <c r="F952" s="332"/>
      <c r="G952" s="332"/>
    </row>
    <row r="953" customFormat="false" ht="14.25" hidden="false" customHeight="true" outlineLevel="0" collapsed="false">
      <c r="A953" s="333" t="s">
        <v>534</v>
      </c>
      <c r="B953" s="334" t="s">
        <v>81</v>
      </c>
      <c r="C953" s="334" t="s">
        <v>1711</v>
      </c>
      <c r="D953" s="334" t="s">
        <v>1712</v>
      </c>
      <c r="E953" s="334" t="s">
        <v>1713</v>
      </c>
      <c r="F953" s="334" t="s">
        <v>7</v>
      </c>
    </row>
    <row r="954" customFormat="false" ht="13.5" hidden="false" customHeight="true" outlineLevel="0" collapsed="false">
      <c r="A954" s="323" t="s">
        <v>1729</v>
      </c>
      <c r="B954" s="323" t="n">
        <v>150</v>
      </c>
      <c r="C954" s="323" t="n">
        <f aca="false">B951*0.95</f>
        <v>0</v>
      </c>
      <c r="D954" s="323" t="n">
        <f aca="false">B951*0.9</f>
        <v>0</v>
      </c>
      <c r="E954" s="323" t="n">
        <f aca="false">B951*0.85</f>
        <v>0</v>
      </c>
      <c r="F954" s="323" t="s">
        <v>1730</v>
      </c>
    </row>
    <row r="955" customFormat="false" ht="14.25" hidden="false" customHeight="true" outlineLevel="0" collapsed="false">
      <c r="A955" s="335" t="s">
        <v>1731</v>
      </c>
      <c r="B955" s="335" t="n">
        <v>230</v>
      </c>
      <c r="C955" s="335" t="n">
        <f aca="false">B952*0.95</f>
        <v>0</v>
      </c>
      <c r="D955" s="335" t="n">
        <f aca="false">B952*0.9</f>
        <v>0</v>
      </c>
      <c r="E955" s="335" t="n">
        <f aca="false">B952*0.85</f>
        <v>0</v>
      </c>
      <c r="F955" s="335" t="s">
        <v>1732</v>
      </c>
    </row>
    <row r="957" customFormat="false" ht="14.25" hidden="false" customHeight="true" outlineLevel="0" collapsed="false">
      <c r="A957" s="336" t="s">
        <v>1733</v>
      </c>
      <c r="B957" s="336"/>
      <c r="C957" s="336"/>
      <c r="D957" s="336"/>
      <c r="E957" s="336"/>
      <c r="F957" s="336"/>
      <c r="G957" s="332"/>
    </row>
    <row r="958" customFormat="false" ht="14.25" hidden="false" customHeight="true" outlineLevel="0" collapsed="false">
      <c r="A958" s="333" t="s">
        <v>534</v>
      </c>
      <c r="B958" s="334" t="s">
        <v>81</v>
      </c>
      <c r="C958" s="334" t="s">
        <v>521</v>
      </c>
      <c r="D958" s="334" t="s">
        <v>638</v>
      </c>
      <c r="E958" s="334" t="s">
        <v>7</v>
      </c>
    </row>
    <row r="959" customFormat="false" ht="14.25" hidden="false" customHeight="true" outlineLevel="0" collapsed="false">
      <c r="A959" s="335" t="s">
        <v>1734</v>
      </c>
      <c r="B959" s="335" t="n">
        <v>815</v>
      </c>
      <c r="C959" s="335" t="n">
        <v>815</v>
      </c>
      <c r="D959" s="337" t="s">
        <v>1705</v>
      </c>
      <c r="E959" s="335" t="s">
        <v>1735</v>
      </c>
    </row>
    <row r="960" customFormat="false" ht="18" hidden="false" customHeight="true" outlineLevel="0" collapsed="false">
      <c r="A960" s="338" t="s">
        <v>1736</v>
      </c>
    </row>
    <row r="961" customFormat="false" ht="13.5" hidden="false" customHeight="true" outlineLevel="0" collapsed="false"/>
    <row r="962" customFormat="false" ht="13.5" hidden="false" customHeight="true" outlineLevel="0" collapsed="false"/>
    <row r="963" customFormat="false" ht="14.25" hidden="false" customHeight="true" outlineLevel="0" collapsed="false">
      <c r="A963" s="339" t="s">
        <v>1737</v>
      </c>
      <c r="B963" s="340"/>
      <c r="C963" s="340"/>
      <c r="D963" s="340"/>
      <c r="E963" s="340"/>
      <c r="F963" s="340"/>
      <c r="G963" s="340"/>
    </row>
    <row r="964" customFormat="false" ht="14.25" hidden="false" customHeight="true" outlineLevel="0" collapsed="false">
      <c r="A964" s="341" t="s">
        <v>1738</v>
      </c>
      <c r="B964" s="342"/>
      <c r="C964" s="342"/>
      <c r="D964" s="342"/>
      <c r="E964" s="342"/>
      <c r="F964" s="342"/>
      <c r="G964" s="342"/>
    </row>
    <row r="965" customFormat="false" ht="14.25" hidden="false" customHeight="true" outlineLevel="0" collapsed="false">
      <c r="A965" s="341" t="s">
        <v>424</v>
      </c>
      <c r="B965" s="342"/>
      <c r="C965" s="342"/>
      <c r="D965" s="342"/>
      <c r="E965" s="342"/>
      <c r="F965" s="342"/>
      <c r="G965" s="342"/>
    </row>
    <row r="966" customFormat="false" ht="14.25" hidden="false" customHeight="true" outlineLevel="0" collapsed="false">
      <c r="A966" s="343" t="s">
        <v>1739</v>
      </c>
      <c r="B966" s="344" t="s">
        <v>1740</v>
      </c>
      <c r="C966" s="344" t="s">
        <v>1741</v>
      </c>
      <c r="D966" s="344" t="s">
        <v>4</v>
      </c>
      <c r="E966" s="344" t="s">
        <v>7</v>
      </c>
    </row>
    <row r="967" customFormat="false" ht="14.25" hidden="false" customHeight="true" outlineLevel="0" collapsed="false">
      <c r="A967" s="345" t="s">
        <v>103</v>
      </c>
      <c r="B967" s="345" t="n">
        <v>1200</v>
      </c>
      <c r="C967" s="345" t="n">
        <v>1150</v>
      </c>
      <c r="D967" s="345" t="n">
        <v>1450</v>
      </c>
      <c r="E967" s="345" t="s">
        <v>104</v>
      </c>
    </row>
    <row r="968" customFormat="false" ht="14.25" hidden="false" customHeight="true" outlineLevel="0" collapsed="false">
      <c r="A968" s="323" t="s">
        <v>105</v>
      </c>
      <c r="B968" s="323" t="n">
        <v>1300</v>
      </c>
      <c r="C968" s="323" t="n">
        <v>1250</v>
      </c>
      <c r="D968" s="323" t="n">
        <v>1550</v>
      </c>
      <c r="E968" s="323" t="s">
        <v>106</v>
      </c>
    </row>
    <row r="969" customFormat="false" ht="14.25" hidden="false" customHeight="true" outlineLevel="0" collapsed="false">
      <c r="A969" s="345" t="s">
        <v>107</v>
      </c>
      <c r="B969" s="345" t="n">
        <v>1500</v>
      </c>
      <c r="C969" s="345" t="n">
        <v>1450</v>
      </c>
      <c r="D969" s="345" t="n">
        <v>1750</v>
      </c>
      <c r="E969" s="345" t="s">
        <v>20</v>
      </c>
    </row>
    <row r="970" customFormat="false" ht="14.25" hidden="false" customHeight="true" outlineLevel="0" collapsed="false">
      <c r="A970" s="323" t="s">
        <v>108</v>
      </c>
      <c r="B970" s="323" t="n">
        <v>1600</v>
      </c>
      <c r="C970" s="323" t="n">
        <v>1550</v>
      </c>
      <c r="D970" s="323" t="n">
        <v>1850</v>
      </c>
      <c r="E970" s="323" t="s">
        <v>109</v>
      </c>
    </row>
    <row r="971" customFormat="false" ht="14.25" hidden="false" customHeight="true" outlineLevel="0" collapsed="false">
      <c r="A971" s="345" t="s">
        <v>110</v>
      </c>
      <c r="B971" s="345" t="n">
        <v>975</v>
      </c>
      <c r="C971" s="345" t="n">
        <v>925</v>
      </c>
      <c r="D971" s="345" t="n">
        <v>1200</v>
      </c>
      <c r="E971" s="345" t="s">
        <v>1742</v>
      </c>
    </row>
    <row r="972" customFormat="false" ht="13.5" hidden="false" customHeight="true" outlineLevel="0" collapsed="false">
      <c r="A972" s="323" t="s">
        <v>112</v>
      </c>
      <c r="B972" s="323" t="n">
        <v>1300</v>
      </c>
      <c r="C972" s="323" t="n">
        <v>1250</v>
      </c>
      <c r="D972" s="323" t="n">
        <v>1550</v>
      </c>
      <c r="E972" s="323" t="s">
        <v>1743</v>
      </c>
    </row>
    <row r="973" customFormat="false" ht="14.25" hidden="false" customHeight="true" outlineLevel="0" collapsed="false">
      <c r="A973" s="345" t="s">
        <v>113</v>
      </c>
      <c r="B973" s="345" t="n">
        <v>1400</v>
      </c>
      <c r="C973" s="345" t="n">
        <v>1350</v>
      </c>
      <c r="D973" s="345" t="n">
        <v>1650</v>
      </c>
      <c r="E973" s="345" t="s">
        <v>1744</v>
      </c>
    </row>
    <row r="975" customFormat="false" ht="14.25" hidden="false" customHeight="true" outlineLevel="0" collapsed="false">
      <c r="A975" s="341" t="s">
        <v>1745</v>
      </c>
      <c r="B975" s="342"/>
      <c r="C975" s="342"/>
      <c r="D975" s="342"/>
      <c r="E975" s="342"/>
      <c r="F975" s="342"/>
      <c r="G975" s="342"/>
    </row>
    <row r="976" customFormat="false" ht="14.25" hidden="false" customHeight="true" outlineLevel="0" collapsed="false">
      <c r="A976" s="343" t="s">
        <v>1701</v>
      </c>
      <c r="B976" s="344" t="s">
        <v>1746</v>
      </c>
      <c r="C976" s="344" t="s">
        <v>4</v>
      </c>
      <c r="D976" s="344"/>
      <c r="E976" s="344"/>
    </row>
    <row r="977" customFormat="false" ht="14.25" hidden="false" customHeight="true" outlineLevel="0" collapsed="false">
      <c r="A977" s="345" t="s">
        <v>1747</v>
      </c>
      <c r="B977" s="345" t="n">
        <v>70</v>
      </c>
      <c r="C977" s="345" t="n">
        <v>100</v>
      </c>
      <c r="D977" s="345"/>
      <c r="E977" s="345"/>
    </row>
    <row r="978" customFormat="false" ht="14.25" hidden="false" customHeight="true" outlineLevel="0" collapsed="false">
      <c r="A978" s="323" t="s">
        <v>1748</v>
      </c>
      <c r="B978" s="323" t="n">
        <v>350</v>
      </c>
      <c r="C978" s="323" t="n">
        <v>425</v>
      </c>
      <c r="D978" s="323"/>
      <c r="E978" s="323"/>
    </row>
    <row r="979" customFormat="false" ht="14.25" hidden="false" customHeight="true" outlineLevel="0" collapsed="false">
      <c r="A979" s="345" t="s">
        <v>1749</v>
      </c>
      <c r="B979" s="345" t="n">
        <v>50</v>
      </c>
      <c r="C979" s="345" t="n">
        <v>100</v>
      </c>
      <c r="D979" s="345"/>
      <c r="E979" s="345"/>
    </row>
    <row r="980" customFormat="false" ht="14.25" hidden="false" customHeight="true" outlineLevel="0" collapsed="false">
      <c r="A980" s="323" t="s">
        <v>1750</v>
      </c>
      <c r="B980" s="323" t="n">
        <v>75</v>
      </c>
      <c r="C980" s="323" t="n">
        <v>125</v>
      </c>
      <c r="D980" s="323"/>
      <c r="E980" s="323"/>
    </row>
    <row r="981" customFormat="false" ht="14.25" hidden="false" customHeight="true" outlineLevel="0" collapsed="false">
      <c r="A981" s="345" t="s">
        <v>1751</v>
      </c>
      <c r="B981" s="345" t="n">
        <v>275</v>
      </c>
      <c r="C981" s="345" t="n">
        <v>325</v>
      </c>
      <c r="D981" s="345"/>
      <c r="E981" s="345"/>
    </row>
    <row r="982" customFormat="false" ht="14.25" hidden="false" customHeight="true" outlineLevel="0" collapsed="false">
      <c r="A982" s="323" t="s">
        <v>1752</v>
      </c>
      <c r="B982" s="323" t="n">
        <v>275</v>
      </c>
      <c r="C982" s="323" t="n">
        <v>325</v>
      </c>
      <c r="D982" s="323"/>
      <c r="E982" s="323"/>
    </row>
    <row r="983" customFormat="false" ht="14.25" hidden="false" customHeight="true" outlineLevel="0" collapsed="false">
      <c r="A983" s="345" t="s">
        <v>1753</v>
      </c>
      <c r="B983" s="346" t="n">
        <v>65</v>
      </c>
      <c r="C983" s="347" t="n">
        <v>90</v>
      </c>
      <c r="D983" s="347"/>
      <c r="E983" s="348"/>
    </row>
    <row r="984" customFormat="false" ht="14.25" hidden="false" customHeight="true" outlineLevel="0" collapsed="false">
      <c r="A984" s="349" t="s">
        <v>1754</v>
      </c>
      <c r="B984" s="349"/>
      <c r="C984" s="349"/>
      <c r="D984" s="349"/>
      <c r="E984" s="349"/>
    </row>
    <row r="985" customFormat="false" ht="14.25" hidden="false" customHeight="true" outlineLevel="0" collapsed="false">
      <c r="A985" s="345" t="s">
        <v>1755</v>
      </c>
      <c r="B985" s="346" t="n">
        <v>30</v>
      </c>
      <c r="C985" s="347" t="n">
        <v>45</v>
      </c>
      <c r="D985" s="347"/>
      <c r="E985" s="348"/>
    </row>
    <row r="986" customFormat="false" ht="14.25" hidden="false" customHeight="true" outlineLevel="0" collapsed="false">
      <c r="A986" s="323" t="s">
        <v>1756</v>
      </c>
      <c r="B986" s="350" t="n">
        <v>25</v>
      </c>
      <c r="C986" s="351" t="n">
        <v>40</v>
      </c>
      <c r="D986" s="351"/>
      <c r="E986" s="352"/>
    </row>
    <row r="987" customFormat="false" ht="14.25" hidden="false" customHeight="true" outlineLevel="0" collapsed="false">
      <c r="A987" s="338" t="s">
        <v>1757</v>
      </c>
    </row>
    <row r="988" customFormat="false" ht="14.25" hidden="false" customHeight="true" outlineLevel="0" collapsed="false">
      <c r="A988" s="171"/>
      <c r="B988" s="311"/>
      <c r="C988" s="186"/>
      <c r="D988" s="186"/>
      <c r="E988" s="312"/>
    </row>
    <row r="989" customFormat="false" ht="14.25" hidden="false" customHeight="true" outlineLevel="0" collapsed="false">
      <c r="A989" s="171"/>
      <c r="B989" s="311"/>
      <c r="C989" s="186"/>
      <c r="D989" s="186"/>
      <c r="E989" s="312"/>
    </row>
    <row r="990" customFormat="false" ht="18" hidden="false" customHeight="true" outlineLevel="0" collapsed="false">
      <c r="A990" s="353" t="s">
        <v>213</v>
      </c>
      <c r="B990" s="354"/>
      <c r="C990" s="355"/>
      <c r="D990" s="355"/>
      <c r="E990" s="356"/>
      <c r="F990" s="357"/>
    </row>
    <row r="991" customFormat="false" ht="13.5" hidden="false" customHeight="true" outlineLevel="0" collapsed="false">
      <c r="A991" s="358" t="s">
        <v>1758</v>
      </c>
      <c r="B991" s="359"/>
      <c r="C991" s="360"/>
      <c r="D991" s="360"/>
      <c r="E991" s="361"/>
      <c r="F991" s="362"/>
    </row>
    <row r="992" customFormat="false" ht="13.5" hidden="false" customHeight="true" outlineLevel="0" collapsed="false">
      <c r="A992" s="358" t="s">
        <v>1759</v>
      </c>
      <c r="B992" s="359"/>
      <c r="C992" s="360"/>
      <c r="D992" s="360"/>
      <c r="E992" s="361"/>
      <c r="F992" s="362"/>
    </row>
    <row r="993" customFormat="false" ht="14.25" hidden="false" customHeight="true" outlineLevel="0" collapsed="false">
      <c r="A993" s="333" t="s">
        <v>1739</v>
      </c>
      <c r="B993" s="334" t="s">
        <v>4</v>
      </c>
      <c r="C993" s="363" t="s">
        <v>138</v>
      </c>
      <c r="D993" s="363" t="s">
        <v>1760</v>
      </c>
      <c r="E993" s="364" t="s">
        <v>7</v>
      </c>
    </row>
    <row r="994" customFormat="false" ht="14.25" hidden="false" customHeight="true" outlineLevel="0" collapsed="false">
      <c r="A994" s="335" t="s">
        <v>139</v>
      </c>
      <c r="B994" s="365" t="n">
        <v>775</v>
      </c>
      <c r="C994" s="366" t="n">
        <v>700</v>
      </c>
      <c r="D994" s="366" t="n">
        <f aca="false">B994-C994</f>
        <v>75</v>
      </c>
      <c r="E994" s="367" t="s">
        <v>140</v>
      </c>
    </row>
    <row r="995" customFormat="false" ht="14.25" hidden="false" customHeight="true" outlineLevel="0" collapsed="false">
      <c r="A995" s="323" t="s">
        <v>141</v>
      </c>
      <c r="B995" s="350" t="n">
        <v>799</v>
      </c>
      <c r="C995" s="351" t="n">
        <v>724</v>
      </c>
      <c r="D995" s="351" t="n">
        <f aca="false">B995-C995</f>
        <v>75</v>
      </c>
      <c r="E995" s="352" t="s">
        <v>140</v>
      </c>
    </row>
    <row r="996" customFormat="false" ht="14.25" hidden="false" customHeight="true" outlineLevel="0" collapsed="false">
      <c r="A996" s="335" t="s">
        <v>142</v>
      </c>
      <c r="B996" s="365" t="n">
        <v>775</v>
      </c>
      <c r="C996" s="366" t="n">
        <v>700</v>
      </c>
      <c r="D996" s="366" t="n">
        <f aca="false">B996-C996</f>
        <v>75</v>
      </c>
      <c r="E996" s="367"/>
    </row>
    <row r="997" customFormat="false" ht="14.25" hidden="false" customHeight="true" outlineLevel="0" collapsed="false">
      <c r="A997" s="323" t="s">
        <v>143</v>
      </c>
      <c r="B997" s="350" t="n">
        <v>775</v>
      </c>
      <c r="C997" s="351" t="n">
        <v>700</v>
      </c>
      <c r="D997" s="351" t="n">
        <f aca="false">B997-C997</f>
        <v>75</v>
      </c>
      <c r="E997" s="352"/>
    </row>
    <row r="998" customFormat="false" ht="14.25" hidden="false" customHeight="true" outlineLevel="0" collapsed="false">
      <c r="A998" s="335" t="s">
        <v>144</v>
      </c>
      <c r="B998" s="365" t="n">
        <v>825</v>
      </c>
      <c r="C998" s="366" t="n">
        <v>975</v>
      </c>
      <c r="D998" s="366" t="n">
        <f aca="false">B998-C998</f>
        <v>-150</v>
      </c>
      <c r="E998" s="367" t="s">
        <v>1761</v>
      </c>
    </row>
    <row r="999" customFormat="false" ht="14.25" hidden="false" customHeight="true" outlineLevel="0" collapsed="false">
      <c r="A999" s="323" t="s">
        <v>146</v>
      </c>
      <c r="B999" s="350" t="n">
        <v>849</v>
      </c>
      <c r="C999" s="351" t="n">
        <v>999</v>
      </c>
      <c r="D999" s="351" t="n">
        <f aca="false">B999-C999</f>
        <v>-150</v>
      </c>
      <c r="E999" s="352" t="s">
        <v>1761</v>
      </c>
    </row>
    <row r="1000" customFormat="false" ht="14.25" hidden="false" customHeight="true" outlineLevel="0" collapsed="false">
      <c r="A1000" s="171"/>
      <c r="B1000" s="311"/>
      <c r="C1000" s="186"/>
      <c r="D1000" s="186"/>
      <c r="E1000" s="312"/>
    </row>
    <row r="1001" customFormat="false" ht="13.5" hidden="false" customHeight="true" outlineLevel="0" collapsed="false">
      <c r="A1001" s="358" t="s">
        <v>1762</v>
      </c>
      <c r="B1001" s="359"/>
      <c r="C1001" s="360"/>
      <c r="D1001" s="360"/>
      <c r="E1001" s="361"/>
      <c r="F1001" s="362"/>
    </row>
    <row r="1002" customFormat="false" ht="14.25" hidden="false" customHeight="true" outlineLevel="0" collapsed="false">
      <c r="A1002" s="333" t="s">
        <v>1739</v>
      </c>
      <c r="B1002" s="334" t="s">
        <v>4</v>
      </c>
      <c r="C1002" s="363" t="s">
        <v>138</v>
      </c>
      <c r="D1002" s="363" t="s">
        <v>1760</v>
      </c>
      <c r="E1002" s="364" t="s">
        <v>7</v>
      </c>
    </row>
    <row r="1003" customFormat="false" ht="14.25" hidden="false" customHeight="true" outlineLevel="0" collapsed="false">
      <c r="A1003" s="323" t="s">
        <v>1763</v>
      </c>
      <c r="B1003" s="350" t="n">
        <v>365</v>
      </c>
      <c r="C1003" s="351" t="s">
        <v>184</v>
      </c>
      <c r="D1003" s="351"/>
      <c r="E1003" s="352" t="s">
        <v>1764</v>
      </c>
    </row>
    <row r="1004" customFormat="false" ht="14.25" hidden="false" customHeight="true" outlineLevel="0" collapsed="false">
      <c r="A1004" s="335" t="s">
        <v>1765</v>
      </c>
      <c r="B1004" s="365" t="n">
        <v>375</v>
      </c>
      <c r="C1004" s="366" t="s">
        <v>184</v>
      </c>
      <c r="D1004" s="366"/>
      <c r="E1004" s="367" t="s">
        <v>1764</v>
      </c>
    </row>
    <row r="1006" customFormat="false" ht="13.5" hidden="false" customHeight="true" outlineLevel="0" collapsed="false">
      <c r="A1006" s="358" t="s">
        <v>1766</v>
      </c>
      <c r="B1006" s="362"/>
      <c r="C1006" s="362"/>
      <c r="D1006" s="362"/>
      <c r="E1006" s="362"/>
      <c r="F1006" s="362"/>
    </row>
    <row r="1007" customFormat="false" ht="14.25" hidden="false" customHeight="true" outlineLevel="0" collapsed="false">
      <c r="A1007" s="333" t="s">
        <v>1739</v>
      </c>
      <c r="B1007" s="334" t="s">
        <v>4</v>
      </c>
      <c r="C1007" s="334" t="s">
        <v>138</v>
      </c>
      <c r="D1007" s="334" t="s">
        <v>1760</v>
      </c>
      <c r="E1007" s="334" t="s">
        <v>7</v>
      </c>
    </row>
    <row r="1008" customFormat="false" ht="14.25" hidden="false" customHeight="true" outlineLevel="0" collapsed="false">
      <c r="A1008" s="335" t="s">
        <v>1767</v>
      </c>
      <c r="B1008" s="335" t="n">
        <v>420</v>
      </c>
      <c r="C1008" s="335" t="n">
        <v>275</v>
      </c>
      <c r="D1008" s="335" t="n">
        <f aca="false">B1008-C1008</f>
        <v>145</v>
      </c>
      <c r="E1008" s="335"/>
    </row>
    <row r="1009" customFormat="false" ht="14.25" hidden="false" customHeight="true" outlineLevel="0" collapsed="false">
      <c r="A1009" s="323" t="s">
        <v>1768</v>
      </c>
      <c r="B1009" s="323" t="n">
        <v>625</v>
      </c>
      <c r="C1009" s="323" t="n">
        <v>365</v>
      </c>
      <c r="D1009" s="323" t="n">
        <f aca="false">B1009-C1009</f>
        <v>260</v>
      </c>
      <c r="E1009" s="323"/>
    </row>
    <row r="1010" customFormat="false" ht="14.25" hidden="false" customHeight="true" outlineLevel="0" collapsed="false">
      <c r="A1010" s="335" t="s">
        <v>1769</v>
      </c>
      <c r="B1010" s="335" t="n">
        <v>850</v>
      </c>
      <c r="C1010" s="335" t="n">
        <v>450</v>
      </c>
      <c r="D1010" s="335" t="n">
        <f aca="false">B1010-C1010</f>
        <v>400</v>
      </c>
      <c r="E1010" s="335"/>
    </row>
    <row r="1011" customFormat="false" ht="14.25" hidden="false" customHeight="true" outlineLevel="0" collapsed="false">
      <c r="A1011" s="323" t="s">
        <v>1770</v>
      </c>
      <c r="B1011" s="323" t="n">
        <v>899</v>
      </c>
      <c r="C1011" s="323" t="n">
        <v>500</v>
      </c>
      <c r="D1011" s="323" t="n">
        <f aca="false">B1011-C1011</f>
        <v>399</v>
      </c>
      <c r="E1011" s="323"/>
    </row>
    <row r="1012" customFormat="false" ht="14.25" hidden="false" customHeight="true" outlineLevel="0" collapsed="false">
      <c r="A1012" s="335" t="s">
        <v>1771</v>
      </c>
      <c r="B1012" s="335" t="n">
        <v>850</v>
      </c>
      <c r="C1012" s="335" t="n">
        <v>450</v>
      </c>
      <c r="D1012" s="335" t="n">
        <f aca="false">B1012-C1012</f>
        <v>400</v>
      </c>
      <c r="E1012" s="335"/>
    </row>
    <row r="1013" customFormat="false" ht="14.25" hidden="false" customHeight="true" outlineLevel="0" collapsed="false">
      <c r="A1013" s="323" t="s">
        <v>1772</v>
      </c>
      <c r="B1013" s="323" t="n">
        <v>850</v>
      </c>
      <c r="C1013" s="323" t="n">
        <v>450</v>
      </c>
      <c r="D1013" s="323" t="n">
        <f aca="false">B1013-C1013</f>
        <v>400</v>
      </c>
      <c r="E1013" s="323"/>
    </row>
    <row r="1015" customFormat="false" ht="13.5" hidden="false" customHeight="true" outlineLevel="0" collapsed="false">
      <c r="A1015" s="358" t="s">
        <v>1773</v>
      </c>
      <c r="B1015" s="362"/>
      <c r="C1015" s="362"/>
      <c r="D1015" s="362"/>
      <c r="E1015" s="362"/>
      <c r="F1015" s="362"/>
    </row>
    <row r="1016" customFormat="false" ht="14.25" hidden="false" customHeight="true" outlineLevel="0" collapsed="false">
      <c r="A1016" s="333" t="s">
        <v>1739</v>
      </c>
      <c r="B1016" s="334" t="s">
        <v>4</v>
      </c>
      <c r="C1016" s="334" t="s">
        <v>138</v>
      </c>
      <c r="D1016" s="334" t="s">
        <v>1760</v>
      </c>
      <c r="E1016" s="334" t="s">
        <v>7</v>
      </c>
    </row>
    <row r="1017" customFormat="false" ht="14.25" hidden="false" customHeight="true" outlineLevel="0" collapsed="false">
      <c r="A1017" s="323" t="s">
        <v>1774</v>
      </c>
      <c r="B1017" s="323" t="n">
        <v>99</v>
      </c>
      <c r="C1017" s="323" t="n">
        <v>75</v>
      </c>
      <c r="D1017" s="323" t="n">
        <f aca="false">B1017-C1017</f>
        <v>24</v>
      </c>
      <c r="E1017" s="323"/>
    </row>
    <row r="1018" customFormat="false" ht="14.25" hidden="false" customHeight="true" outlineLevel="0" collapsed="false">
      <c r="A1018" s="335" t="s">
        <v>1775</v>
      </c>
      <c r="B1018" s="335" t="n">
        <v>99</v>
      </c>
      <c r="C1018" s="335" t="n">
        <v>75</v>
      </c>
      <c r="D1018" s="335" t="n">
        <f aca="false">B1018-C1018</f>
        <v>24</v>
      </c>
      <c r="E1018" s="335"/>
    </row>
    <row r="1019" customFormat="false" ht="14.25" hidden="false" customHeight="true" outlineLevel="0" collapsed="false">
      <c r="A1019" s="30" t="s">
        <v>1776</v>
      </c>
      <c r="B1019" s="30"/>
      <c r="C1019" s="30"/>
      <c r="D1019" s="30"/>
      <c r="E1019" s="30"/>
    </row>
    <row r="1022" customFormat="false" ht="18" hidden="false" customHeight="true" outlineLevel="0" collapsed="false">
      <c r="A1022" s="368" t="s">
        <v>1777</v>
      </c>
      <c r="B1022" s="315"/>
      <c r="C1022" s="315"/>
      <c r="D1022" s="315"/>
      <c r="E1022" s="315"/>
      <c r="F1022" s="315"/>
      <c r="G1022" s="315"/>
    </row>
    <row r="1023" customFormat="false" ht="13.5" hidden="false" customHeight="true" outlineLevel="0" collapsed="false">
      <c r="A1023" s="369" t="s">
        <v>1778</v>
      </c>
      <c r="B1023" s="370"/>
      <c r="C1023" s="370"/>
      <c r="D1023" s="370"/>
      <c r="E1023" s="370"/>
      <c r="F1023" s="370"/>
      <c r="G1023" s="370"/>
    </row>
    <row r="1024" customFormat="false" ht="13.5" hidden="false" customHeight="true" outlineLevel="0" collapsed="false">
      <c r="A1024" s="369" t="s">
        <v>1779</v>
      </c>
      <c r="B1024" s="370"/>
      <c r="C1024" s="370"/>
      <c r="D1024" s="370"/>
      <c r="E1024" s="370"/>
      <c r="F1024" s="370"/>
      <c r="G1024" s="370"/>
    </row>
    <row r="1025" customFormat="false" ht="13.5" hidden="false" customHeight="true" outlineLevel="0" collapsed="false">
      <c r="A1025" s="369" t="s">
        <v>1759</v>
      </c>
      <c r="B1025" s="370"/>
      <c r="C1025" s="370"/>
      <c r="D1025" s="370"/>
      <c r="E1025" s="370"/>
      <c r="F1025" s="370"/>
      <c r="G1025" s="370"/>
    </row>
    <row r="1026" customFormat="false" ht="14.25" hidden="false" customHeight="true" outlineLevel="0" collapsed="false">
      <c r="A1026" s="371" t="s">
        <v>1739</v>
      </c>
      <c r="B1026" s="372" t="s">
        <v>81</v>
      </c>
      <c r="C1026" s="372" t="s">
        <v>5</v>
      </c>
      <c r="D1026" s="372" t="s">
        <v>6</v>
      </c>
      <c r="E1026" s="372" t="s">
        <v>506</v>
      </c>
      <c r="F1026" s="372" t="s">
        <v>7</v>
      </c>
    </row>
    <row r="1027" customFormat="false" ht="14.25" hidden="false" customHeight="true" outlineLevel="0" collapsed="false">
      <c r="A1027" s="373" t="s">
        <v>1780</v>
      </c>
      <c r="B1027" s="374" t="n">
        <v>1099</v>
      </c>
      <c r="C1027" s="374" t="n">
        <v>1020</v>
      </c>
      <c r="D1027" s="374" t="n">
        <v>960</v>
      </c>
      <c r="E1027" s="374" t="n">
        <v>879</v>
      </c>
      <c r="F1027" s="374" t="s">
        <v>1781</v>
      </c>
    </row>
    <row r="1028" customFormat="false" ht="14.25" hidden="false" customHeight="true" outlineLevel="0" collapsed="false">
      <c r="A1028" s="375" t="s">
        <v>1782</v>
      </c>
      <c r="B1028" s="376" t="n">
        <v>1149</v>
      </c>
      <c r="C1028" s="376" t="n">
        <v>1034</v>
      </c>
      <c r="D1028" s="376" t="n">
        <v>977</v>
      </c>
      <c r="E1028" s="376" t="n">
        <v>919</v>
      </c>
      <c r="F1028" s="376" t="s">
        <v>1781</v>
      </c>
    </row>
    <row r="1029" customFormat="false" ht="14.25" hidden="false" customHeight="true" outlineLevel="0" collapsed="false">
      <c r="A1029" s="373" t="s">
        <v>1783</v>
      </c>
      <c r="B1029" s="374" t="n">
        <v>1599</v>
      </c>
      <c r="C1029" s="374" t="n">
        <v>1439</v>
      </c>
      <c r="D1029" s="374" t="n">
        <v>1359</v>
      </c>
      <c r="E1029" s="374" t="n">
        <v>1279</v>
      </c>
      <c r="F1029" s="374" t="s">
        <v>1784</v>
      </c>
    </row>
    <row r="1030" customFormat="false" ht="14.25" hidden="false" customHeight="true" outlineLevel="0" collapsed="false">
      <c r="A1030" s="375" t="s">
        <v>1785</v>
      </c>
      <c r="B1030" s="376" t="n">
        <v>1669</v>
      </c>
      <c r="C1030" s="376" t="n">
        <v>1502</v>
      </c>
      <c r="D1030" s="376" t="n">
        <v>1419</v>
      </c>
      <c r="E1030" s="376" t="n">
        <v>1335</v>
      </c>
      <c r="F1030" s="376" t="s">
        <v>1786</v>
      </c>
    </row>
    <row r="1031" customFormat="false" ht="14.25" hidden="false" customHeight="true" outlineLevel="0" collapsed="false">
      <c r="A1031" s="373" t="s">
        <v>1787</v>
      </c>
      <c r="B1031" s="374" t="n">
        <v>1199</v>
      </c>
      <c r="C1031" s="374" t="n">
        <v>1079</v>
      </c>
      <c r="D1031" s="374" t="n">
        <v>1019</v>
      </c>
      <c r="E1031" s="374" t="n">
        <v>959</v>
      </c>
      <c r="F1031" s="374" t="s">
        <v>1788</v>
      </c>
    </row>
    <row r="1032" customFormat="false" ht="14.25" hidden="false" customHeight="true" outlineLevel="0" collapsed="false">
      <c r="A1032" s="375" t="s">
        <v>1789</v>
      </c>
      <c r="B1032" s="376" t="n">
        <v>1199</v>
      </c>
      <c r="C1032" s="376" t="n">
        <v>1079</v>
      </c>
      <c r="D1032" s="376" t="n">
        <v>1019</v>
      </c>
      <c r="E1032" s="376" t="n">
        <v>959</v>
      </c>
      <c r="F1032" s="376" t="s">
        <v>1790</v>
      </c>
    </row>
    <row r="1033" customFormat="false" ht="14.25" hidden="false" customHeight="true" outlineLevel="0" collapsed="false">
      <c r="A1033" s="373" t="s">
        <v>1791</v>
      </c>
      <c r="B1033" s="374" t="n">
        <v>1549</v>
      </c>
      <c r="C1033" s="374" t="n">
        <v>1394</v>
      </c>
      <c r="D1033" s="374" t="n">
        <v>1317</v>
      </c>
      <c r="E1033" s="374" t="n">
        <v>1239</v>
      </c>
      <c r="F1033" s="374" t="s">
        <v>1792</v>
      </c>
    </row>
    <row r="1034" customFormat="false" ht="14.25" hidden="false" customHeight="true" outlineLevel="0" collapsed="false">
      <c r="A1034" s="375" t="s">
        <v>1793</v>
      </c>
      <c r="B1034" s="376" t="n">
        <v>1749</v>
      </c>
      <c r="C1034" s="376" t="n">
        <v>1574</v>
      </c>
      <c r="D1034" s="376" t="n">
        <v>1487</v>
      </c>
      <c r="E1034" s="376" t="n">
        <v>1399</v>
      </c>
      <c r="F1034" s="376" t="s">
        <v>1794</v>
      </c>
    </row>
    <row r="1035" customFormat="false" ht="14.25" hidden="false" customHeight="true" outlineLevel="0" collapsed="false">
      <c r="A1035" s="373" t="s">
        <v>1795</v>
      </c>
      <c r="B1035" s="374" t="n">
        <v>1295</v>
      </c>
      <c r="C1035" s="374" t="n">
        <v>1166</v>
      </c>
      <c r="D1035" s="374" t="n">
        <v>1101</v>
      </c>
      <c r="E1035" s="374" t="n">
        <v>1036</v>
      </c>
      <c r="F1035" s="374" t="s">
        <v>1796</v>
      </c>
    </row>
    <row r="1036" customFormat="false" ht="14.25" hidden="false" customHeight="true" outlineLevel="0" collapsed="false">
      <c r="A1036" s="375" t="s">
        <v>1797</v>
      </c>
      <c r="B1036" s="376" t="n">
        <v>1249</v>
      </c>
      <c r="C1036" s="376" t="n">
        <v>1124</v>
      </c>
      <c r="D1036" s="376" t="n">
        <v>1062</v>
      </c>
      <c r="E1036" s="376" t="n">
        <v>999</v>
      </c>
      <c r="F1036" s="376" t="s">
        <v>1796</v>
      </c>
    </row>
    <row r="1037" customFormat="false" ht="14.25" hidden="false" customHeight="true" outlineLevel="0" collapsed="false">
      <c r="A1037" s="373" t="s">
        <v>1798</v>
      </c>
      <c r="B1037" s="374" t="n">
        <v>1675</v>
      </c>
      <c r="C1037" s="374" t="n">
        <v>1508</v>
      </c>
      <c r="D1037" s="374" t="n">
        <v>1424</v>
      </c>
      <c r="E1037" s="374" t="n">
        <v>1340</v>
      </c>
      <c r="F1037" s="374" t="s">
        <v>1799</v>
      </c>
    </row>
    <row r="1038" customFormat="false" ht="14.25" hidden="false" customHeight="true" outlineLevel="0" collapsed="false">
      <c r="A1038" s="375" t="s">
        <v>1800</v>
      </c>
      <c r="B1038" s="376" t="n">
        <v>1725</v>
      </c>
      <c r="C1038" s="376" t="n">
        <v>1553</v>
      </c>
      <c r="D1038" s="376" t="n">
        <v>1466</v>
      </c>
      <c r="E1038" s="376" t="n">
        <v>1380</v>
      </c>
      <c r="F1038" s="376"/>
    </row>
    <row r="1039" customFormat="false" ht="14.25" hidden="false" customHeight="true" outlineLevel="0" collapsed="false">
      <c r="A1039" s="373" t="s">
        <v>1801</v>
      </c>
      <c r="B1039" s="374" t="n">
        <v>1995</v>
      </c>
      <c r="C1039" s="374" t="n">
        <v>1796</v>
      </c>
      <c r="D1039" s="374" t="n">
        <v>1696</v>
      </c>
      <c r="E1039" s="374" t="n">
        <v>1596</v>
      </c>
      <c r="F1039" s="374" t="s">
        <v>1802</v>
      </c>
    </row>
    <row r="1040" customFormat="false" ht="14.25" hidden="false" customHeight="true" outlineLevel="0" collapsed="false">
      <c r="A1040" s="375" t="s">
        <v>1803</v>
      </c>
      <c r="B1040" s="376" t="n">
        <v>2195</v>
      </c>
      <c r="C1040" s="376" t="n">
        <v>1976</v>
      </c>
      <c r="D1040" s="376" t="n">
        <v>1866</v>
      </c>
      <c r="E1040" s="376" t="n">
        <v>1756</v>
      </c>
      <c r="F1040" s="376" t="s">
        <v>1804</v>
      </c>
    </row>
    <row r="1041" customFormat="false" ht="14.25" hidden="false" customHeight="true" outlineLevel="0" collapsed="false">
      <c r="A1041" s="373" t="s">
        <v>1805</v>
      </c>
      <c r="B1041" s="374" t="n">
        <v>1495</v>
      </c>
      <c r="C1041" s="374" t="n">
        <v>1346</v>
      </c>
      <c r="D1041" s="374" t="n">
        <v>1271</v>
      </c>
      <c r="E1041" s="374" t="n">
        <v>1196</v>
      </c>
      <c r="F1041" s="374" t="s">
        <v>1806</v>
      </c>
    </row>
    <row r="1042" customFormat="false" ht="14.25" hidden="false" customHeight="true" outlineLevel="0" collapsed="false">
      <c r="A1042" s="375" t="s">
        <v>1807</v>
      </c>
      <c r="B1042" s="376" t="n">
        <v>1299</v>
      </c>
      <c r="C1042" s="376" t="n">
        <v>1169</v>
      </c>
      <c r="D1042" s="376" t="n">
        <v>1104</v>
      </c>
      <c r="E1042" s="376" t="n">
        <v>1039</v>
      </c>
      <c r="F1042" s="376" t="s">
        <v>1808</v>
      </c>
    </row>
    <row r="1043" customFormat="false" ht="14.25" hidden="false" customHeight="true" outlineLevel="0" collapsed="false">
      <c r="A1043" s="373" t="s">
        <v>1809</v>
      </c>
      <c r="B1043" s="374" t="n">
        <v>1599</v>
      </c>
      <c r="C1043" s="374" t="n">
        <v>1439</v>
      </c>
      <c r="D1043" s="374" t="n">
        <v>1359</v>
      </c>
      <c r="E1043" s="374" t="n">
        <v>1279</v>
      </c>
      <c r="F1043" s="374" t="s">
        <v>1808</v>
      </c>
    </row>
    <row r="1044" customFormat="false" ht="14.25" hidden="false" customHeight="true" outlineLevel="0" collapsed="false">
      <c r="A1044" s="375" t="s">
        <v>1810</v>
      </c>
      <c r="B1044" s="376" t="n">
        <v>995</v>
      </c>
      <c r="C1044" s="376" t="n">
        <v>896</v>
      </c>
      <c r="D1044" s="376" t="n">
        <v>846</v>
      </c>
      <c r="E1044" s="376" t="n">
        <v>796</v>
      </c>
      <c r="F1044" s="376" t="s">
        <v>1811</v>
      </c>
    </row>
    <row r="1045" customFormat="false" ht="14.25" hidden="false" customHeight="true" outlineLevel="0" collapsed="false">
      <c r="A1045" s="373" t="s">
        <v>1812</v>
      </c>
      <c r="B1045" s="374" t="n">
        <v>1049</v>
      </c>
      <c r="C1045" s="374" t="n">
        <v>944</v>
      </c>
      <c r="D1045" s="374" t="n">
        <v>892</v>
      </c>
      <c r="E1045" s="374" t="n">
        <v>839</v>
      </c>
      <c r="F1045" s="374" t="s">
        <v>1811</v>
      </c>
    </row>
    <row r="1046" customFormat="false" ht="14.25" hidden="false" customHeight="true" outlineLevel="0" collapsed="false">
      <c r="A1046" s="375" t="s">
        <v>1813</v>
      </c>
      <c r="B1046" s="376" t="n">
        <v>1099</v>
      </c>
      <c r="C1046" s="376" t="n">
        <v>989</v>
      </c>
      <c r="D1046" s="376" t="n">
        <v>934</v>
      </c>
      <c r="E1046" s="376" t="n">
        <v>879</v>
      </c>
      <c r="F1046" s="376" t="s">
        <v>1814</v>
      </c>
    </row>
    <row r="1048" customFormat="false" ht="13.5" hidden="false" customHeight="true" outlineLevel="0" collapsed="false">
      <c r="A1048" s="369" t="s">
        <v>1815</v>
      </c>
      <c r="B1048" s="370"/>
      <c r="C1048" s="370"/>
      <c r="D1048" s="370"/>
      <c r="E1048" s="370"/>
      <c r="F1048" s="370"/>
      <c r="G1048" s="370"/>
    </row>
    <row r="1049" customFormat="false" ht="14.25" hidden="false" customHeight="true" outlineLevel="0" collapsed="false">
      <c r="A1049" s="371" t="s">
        <v>1701</v>
      </c>
      <c r="B1049" s="372" t="s">
        <v>81</v>
      </c>
      <c r="C1049" s="372" t="s">
        <v>5</v>
      </c>
      <c r="D1049" s="372" t="s">
        <v>6</v>
      </c>
      <c r="E1049" s="372" t="s">
        <v>506</v>
      </c>
      <c r="F1049" s="372" t="s">
        <v>7</v>
      </c>
    </row>
    <row r="1050" customFormat="false" ht="14.25" hidden="false" customHeight="true" outlineLevel="0" collapsed="false">
      <c r="A1050" s="373" t="s">
        <v>1816</v>
      </c>
      <c r="B1050" s="374" t="n">
        <v>99</v>
      </c>
      <c r="C1050" s="374" t="n">
        <v>89</v>
      </c>
      <c r="D1050" s="374" t="n">
        <v>84</v>
      </c>
      <c r="E1050" s="374" t="n">
        <v>79</v>
      </c>
      <c r="F1050" s="374" t="s">
        <v>1817</v>
      </c>
    </row>
    <row r="1051" customFormat="false" ht="14.25" hidden="false" customHeight="true" outlineLevel="0" collapsed="false">
      <c r="A1051" s="375" t="s">
        <v>1818</v>
      </c>
      <c r="B1051" s="376" t="n">
        <v>0</v>
      </c>
      <c r="C1051" s="376" t="n">
        <v>0</v>
      </c>
      <c r="D1051" s="376" t="n">
        <v>0</v>
      </c>
      <c r="E1051" s="376" t="n">
        <v>0</v>
      </c>
      <c r="F1051" s="376" t="s">
        <v>1819</v>
      </c>
    </row>
    <row r="1052" customFormat="false" ht="14.25" hidden="false" customHeight="true" outlineLevel="0" collapsed="false">
      <c r="A1052" s="373" t="s">
        <v>1820</v>
      </c>
      <c r="B1052" s="374" t="n">
        <v>79</v>
      </c>
      <c r="C1052" s="374" t="n">
        <v>71</v>
      </c>
      <c r="D1052" s="374" t="n">
        <v>67</v>
      </c>
      <c r="E1052" s="374" t="n">
        <v>63</v>
      </c>
      <c r="F1052" s="374" t="s">
        <v>1821</v>
      </c>
    </row>
    <row r="1053" customFormat="false" ht="14.25" hidden="false" customHeight="true" outlineLevel="0" collapsed="false">
      <c r="A1053" s="375" t="s">
        <v>1822</v>
      </c>
      <c r="B1053" s="376" t="n">
        <v>119</v>
      </c>
      <c r="C1053" s="376" t="n">
        <v>107</v>
      </c>
      <c r="D1053" s="376" t="n">
        <v>101</v>
      </c>
      <c r="E1053" s="376" t="n">
        <v>95</v>
      </c>
      <c r="F1053" s="376"/>
    </row>
    <row r="1054" customFormat="false" ht="14.25" hidden="false" customHeight="true" outlineLevel="0" collapsed="false">
      <c r="A1054" s="373" t="s">
        <v>1823</v>
      </c>
      <c r="B1054" s="374" t="n">
        <v>119</v>
      </c>
      <c r="C1054" s="374" t="n">
        <v>107</v>
      </c>
      <c r="D1054" s="374" t="n">
        <v>101</v>
      </c>
      <c r="E1054" s="374" t="n">
        <v>95</v>
      </c>
      <c r="F1054" s="374"/>
    </row>
    <row r="1055" customFormat="false" ht="14.25" hidden="false" customHeight="true" outlineLevel="0" collapsed="false">
      <c r="A1055" s="375" t="s">
        <v>1824</v>
      </c>
      <c r="B1055" s="376" t="n">
        <v>80</v>
      </c>
      <c r="C1055" s="376" t="n">
        <v>72</v>
      </c>
      <c r="D1055" s="376" t="n">
        <v>68</v>
      </c>
      <c r="E1055" s="376" t="n">
        <v>64</v>
      </c>
      <c r="F1055" s="376"/>
    </row>
    <row r="1056" customFormat="false" ht="14.25" hidden="false" customHeight="true" outlineLevel="0" collapsed="false">
      <c r="A1056" s="373" t="s">
        <v>1825</v>
      </c>
      <c r="B1056" s="374" t="n">
        <v>95</v>
      </c>
      <c r="C1056" s="374" t="n">
        <v>86</v>
      </c>
      <c r="D1056" s="374" t="n">
        <v>81</v>
      </c>
      <c r="E1056" s="374" t="n">
        <v>76</v>
      </c>
      <c r="F1056" s="374"/>
    </row>
    <row r="1057" customFormat="false" ht="14.25" hidden="false" customHeight="true" outlineLevel="0" collapsed="false">
      <c r="A1057" s="375" t="s">
        <v>1826</v>
      </c>
      <c r="B1057" s="376" t="n">
        <v>95</v>
      </c>
      <c r="C1057" s="376" t="n">
        <v>86</v>
      </c>
      <c r="D1057" s="376" t="n">
        <v>81</v>
      </c>
      <c r="E1057" s="376" t="n">
        <v>76</v>
      </c>
      <c r="F1057" s="376"/>
    </row>
    <row r="1058" customFormat="false" ht="14.25" hidden="false" customHeight="true" outlineLevel="0" collapsed="false">
      <c r="A1058" s="373" t="s">
        <v>1827</v>
      </c>
      <c r="B1058" s="374" t="n">
        <v>129</v>
      </c>
      <c r="C1058" s="374" t="n">
        <v>116</v>
      </c>
      <c r="D1058" s="374" t="n">
        <v>110</v>
      </c>
      <c r="E1058" s="374" t="n">
        <v>103</v>
      </c>
      <c r="F1058" s="374"/>
    </row>
    <row r="1059" customFormat="false" ht="14.25" hidden="false" customHeight="true" outlineLevel="0" collapsed="false">
      <c r="A1059" s="375" t="s">
        <v>1828</v>
      </c>
      <c r="B1059" s="376" t="n">
        <v>549</v>
      </c>
      <c r="C1059" s="376" t="n">
        <v>494</v>
      </c>
      <c r="D1059" s="376" t="n">
        <v>467</v>
      </c>
      <c r="E1059" s="376" t="n">
        <v>439</v>
      </c>
      <c r="F1059" s="376" t="s">
        <v>1829</v>
      </c>
    </row>
    <row r="1060" customFormat="false" ht="14.25" hidden="false" customHeight="true" outlineLevel="0" collapsed="false">
      <c r="A1060" s="373" t="s">
        <v>1830</v>
      </c>
      <c r="B1060" s="374" t="n">
        <v>695</v>
      </c>
      <c r="C1060" s="374" t="n">
        <v>626</v>
      </c>
      <c r="D1060" s="374" t="n">
        <v>591</v>
      </c>
      <c r="E1060" s="374" t="n">
        <v>556</v>
      </c>
      <c r="F1060" s="374"/>
    </row>
    <row r="1061" customFormat="false" ht="14.25" hidden="false" customHeight="true" outlineLevel="0" collapsed="false">
      <c r="A1061" s="375" t="s">
        <v>1831</v>
      </c>
      <c r="B1061" s="376" t="n">
        <v>895</v>
      </c>
      <c r="C1061" s="376" t="n">
        <v>806</v>
      </c>
      <c r="D1061" s="376" t="n">
        <v>761</v>
      </c>
      <c r="E1061" s="376" t="n">
        <v>716</v>
      </c>
      <c r="F1061" s="376"/>
    </row>
    <row r="1062" customFormat="false" ht="14.25" hidden="false" customHeight="true" outlineLevel="0" collapsed="false">
      <c r="A1062" s="373" t="s">
        <v>1832</v>
      </c>
      <c r="B1062" s="374" t="n">
        <v>35</v>
      </c>
      <c r="C1062" s="374" t="n">
        <v>32</v>
      </c>
      <c r="D1062" s="374" t="n">
        <v>30</v>
      </c>
      <c r="E1062" s="374" t="n">
        <v>28</v>
      </c>
      <c r="F1062" s="374"/>
    </row>
    <row r="1063" customFormat="false" ht="14.25" hidden="false" customHeight="true" outlineLevel="0" collapsed="false">
      <c r="A1063" s="375" t="s">
        <v>1833</v>
      </c>
      <c r="B1063" s="376" t="n">
        <v>30</v>
      </c>
      <c r="C1063" s="376" t="n">
        <v>27</v>
      </c>
      <c r="D1063" s="376" t="n">
        <v>26</v>
      </c>
      <c r="E1063" s="376" t="n">
        <v>24</v>
      </c>
      <c r="F1063" s="376"/>
    </row>
    <row r="1064" customFormat="false" ht="14.25" hidden="false" customHeight="true" outlineLevel="0" collapsed="false">
      <c r="A1064" s="373" t="s">
        <v>1834</v>
      </c>
      <c r="B1064" s="374" t="n">
        <v>10</v>
      </c>
      <c r="C1064" s="374" t="n">
        <v>9</v>
      </c>
      <c r="D1064" s="374" t="n">
        <v>9</v>
      </c>
      <c r="E1064" s="374" t="n">
        <v>8</v>
      </c>
      <c r="F1064" s="374"/>
    </row>
    <row r="1065" customFormat="false" ht="14.25" hidden="false" customHeight="true" outlineLevel="0" collapsed="false">
      <c r="A1065" s="375" t="s">
        <v>1835</v>
      </c>
      <c r="B1065" s="376" t="n">
        <v>40</v>
      </c>
      <c r="C1065" s="376" t="n">
        <v>36</v>
      </c>
      <c r="D1065" s="376" t="n">
        <v>34</v>
      </c>
      <c r="E1065" s="376" t="n">
        <v>32</v>
      </c>
      <c r="F1065" s="376"/>
    </row>
    <row r="1066" customFormat="false" ht="14.25" hidden="false" customHeight="true" outlineLevel="0" collapsed="false">
      <c r="A1066" s="373" t="s">
        <v>1836</v>
      </c>
      <c r="B1066" s="374" t="n">
        <v>49</v>
      </c>
      <c r="C1066" s="374" t="n">
        <v>44</v>
      </c>
      <c r="D1066" s="374" t="n">
        <v>42</v>
      </c>
      <c r="E1066" s="374" t="n">
        <v>39</v>
      </c>
      <c r="F1066" s="374"/>
    </row>
    <row r="1067" customFormat="false" ht="14.25" hidden="false" customHeight="true" outlineLevel="0" collapsed="false">
      <c r="A1067" s="375" t="s">
        <v>1837</v>
      </c>
      <c r="B1067" s="376" t="n">
        <v>89</v>
      </c>
      <c r="C1067" s="376" t="n">
        <v>80</v>
      </c>
      <c r="D1067" s="376" t="n">
        <v>76</v>
      </c>
      <c r="E1067" s="376" t="n">
        <v>71</v>
      </c>
      <c r="F1067" s="376"/>
    </row>
    <row r="1068" customFormat="false" ht="14.25" hidden="false" customHeight="true" outlineLevel="0" collapsed="false">
      <c r="A1068" s="373" t="s">
        <v>1838</v>
      </c>
      <c r="B1068" s="374" t="n">
        <v>129</v>
      </c>
      <c r="C1068" s="374" t="n">
        <v>116</v>
      </c>
      <c r="D1068" s="374" t="n">
        <v>110</v>
      </c>
      <c r="E1068" s="374" t="n">
        <v>103</v>
      </c>
      <c r="F1068" s="374"/>
    </row>
    <row r="1069" customFormat="false" ht="14.25" hidden="false" customHeight="true" outlineLevel="0" collapsed="false">
      <c r="A1069" s="375" t="s">
        <v>1839</v>
      </c>
      <c r="B1069" s="376" t="n">
        <v>149</v>
      </c>
      <c r="C1069" s="376" t="n">
        <v>134</v>
      </c>
      <c r="D1069" s="376" t="n">
        <v>127</v>
      </c>
      <c r="E1069" s="376" t="n">
        <v>119</v>
      </c>
      <c r="F1069" s="376"/>
    </row>
    <row r="1071" customFormat="false" ht="13.5" hidden="false" customHeight="true" outlineLevel="0" collapsed="false">
      <c r="A1071" s="369" t="s">
        <v>1840</v>
      </c>
      <c r="B1071" s="370"/>
      <c r="C1071" s="370"/>
      <c r="D1071" s="370"/>
      <c r="E1071" s="370"/>
      <c r="F1071" s="370"/>
      <c r="G1071" s="370"/>
    </row>
    <row r="1072" customFormat="false" ht="14.25" hidden="false" customHeight="true" outlineLevel="0" collapsed="false">
      <c r="A1072" s="371" t="s">
        <v>1841</v>
      </c>
      <c r="B1072" s="372" t="s">
        <v>1842</v>
      </c>
      <c r="C1072" s="372"/>
      <c r="D1072" s="372"/>
      <c r="E1072" s="372"/>
      <c r="F1072" s="372" t="s">
        <v>7</v>
      </c>
    </row>
    <row r="1073" customFormat="false" ht="14.25" hidden="false" customHeight="true" outlineLevel="0" collapsed="false">
      <c r="A1073" s="373" t="s">
        <v>1843</v>
      </c>
      <c r="B1073" s="374" t="n">
        <v>125</v>
      </c>
      <c r="C1073" s="374"/>
      <c r="D1073" s="374"/>
      <c r="E1073" s="374"/>
      <c r="F1073" s="374"/>
    </row>
    <row r="1074" customFormat="false" ht="14.25" hidden="false" customHeight="true" outlineLevel="0" collapsed="false">
      <c r="A1074" s="375" t="s">
        <v>1844</v>
      </c>
      <c r="B1074" s="376" t="n">
        <v>155</v>
      </c>
      <c r="C1074" s="376"/>
      <c r="D1074" s="376"/>
      <c r="E1074" s="376"/>
      <c r="F1074" s="376"/>
    </row>
    <row r="1075" customFormat="false" ht="14.25" hidden="false" customHeight="true" outlineLevel="0" collapsed="false">
      <c r="A1075" s="373" t="s">
        <v>1845</v>
      </c>
      <c r="B1075" s="374" t="n">
        <v>175</v>
      </c>
      <c r="C1075" s="374"/>
      <c r="D1075" s="374"/>
      <c r="E1075" s="374"/>
      <c r="F1075" s="374" t="s">
        <v>1846</v>
      </c>
    </row>
    <row r="1076" customFormat="false" ht="14.25" hidden="false" customHeight="true" outlineLevel="0" collapsed="false">
      <c r="A1076" s="375" t="s">
        <v>1847</v>
      </c>
      <c r="B1076" s="376" t="n">
        <v>325</v>
      </c>
      <c r="C1076" s="376"/>
      <c r="D1076" s="376"/>
      <c r="E1076" s="376"/>
      <c r="F1076" s="376" t="s">
        <v>1848</v>
      </c>
    </row>
    <row r="1077" customFormat="false" ht="14.25" hidden="false" customHeight="true" outlineLevel="0" collapsed="false">
      <c r="A1077" s="373" t="s">
        <v>1849</v>
      </c>
      <c r="B1077" s="374" t="n">
        <v>350</v>
      </c>
      <c r="C1077" s="374"/>
      <c r="D1077" s="374"/>
      <c r="E1077" s="374"/>
      <c r="F1077" s="374"/>
    </row>
    <row r="1078" customFormat="false" ht="14.25" hidden="false" customHeight="true" outlineLevel="0" collapsed="false">
      <c r="A1078" s="375" t="s">
        <v>1850</v>
      </c>
      <c r="B1078" s="376" t="n">
        <v>425</v>
      </c>
      <c r="C1078" s="376"/>
      <c r="D1078" s="376"/>
      <c r="E1078" s="376"/>
      <c r="F1078" s="376" t="s">
        <v>1851</v>
      </c>
    </row>
    <row r="1079" customFormat="false" ht="14.25" hidden="false" customHeight="true" outlineLevel="0" collapsed="false">
      <c r="A1079" s="373" t="s">
        <v>1852</v>
      </c>
      <c r="B1079" s="374" t="n">
        <v>95</v>
      </c>
      <c r="C1079" s="374"/>
      <c r="D1079" s="374"/>
      <c r="E1079" s="374"/>
      <c r="F1079" s="374"/>
    </row>
    <row r="1080" customFormat="false" ht="14.25" hidden="false" customHeight="true" outlineLevel="0" collapsed="false">
      <c r="A1080" s="375" t="s">
        <v>1853</v>
      </c>
      <c r="B1080" s="376" t="n">
        <v>80</v>
      </c>
      <c r="C1080" s="376"/>
      <c r="D1080" s="376"/>
      <c r="E1080" s="376"/>
      <c r="F1080" s="376"/>
    </row>
    <row r="1081" customFormat="false" ht="14.25" hidden="false" customHeight="true" outlineLevel="0" collapsed="false">
      <c r="A1081" s="373" t="s">
        <v>1854</v>
      </c>
      <c r="B1081" s="374" t="n">
        <v>249</v>
      </c>
      <c r="C1081" s="374"/>
      <c r="D1081" s="374"/>
      <c r="E1081" s="374"/>
      <c r="F1081" s="374" t="s">
        <v>1855</v>
      </c>
    </row>
    <row r="1082" customFormat="false" ht="14.25" hidden="false" customHeight="true" outlineLevel="0" collapsed="false">
      <c r="A1082" s="375" t="s">
        <v>1856</v>
      </c>
      <c r="B1082" s="376" t="n">
        <v>105</v>
      </c>
      <c r="C1082" s="376"/>
      <c r="D1082" s="376"/>
      <c r="E1082" s="376"/>
      <c r="F1082" s="376" t="s">
        <v>1857</v>
      </c>
    </row>
    <row r="1083" customFormat="false" ht="14.25" hidden="false" customHeight="true" outlineLevel="0" collapsed="false">
      <c r="A1083" s="373" t="s">
        <v>1858</v>
      </c>
      <c r="B1083" s="374" t="n">
        <v>80</v>
      </c>
      <c r="C1083" s="374"/>
      <c r="D1083" s="374"/>
      <c r="E1083" s="374"/>
      <c r="F1083" s="374"/>
    </row>
    <row r="1084" customFormat="false" ht="14.25" hidden="false" customHeight="true" outlineLevel="0" collapsed="false">
      <c r="A1084" s="375" t="s">
        <v>1859</v>
      </c>
      <c r="B1084" s="376" t="n">
        <v>255</v>
      </c>
      <c r="C1084" s="376"/>
      <c r="D1084" s="376"/>
      <c r="E1084" s="376"/>
      <c r="F1084" s="376"/>
    </row>
    <row r="1085" customFormat="false" ht="14.25" hidden="false" customHeight="true" outlineLevel="0" collapsed="false">
      <c r="A1085" s="373" t="s">
        <v>1860</v>
      </c>
      <c r="B1085" s="374" t="n">
        <v>165</v>
      </c>
      <c r="C1085" s="374"/>
      <c r="D1085" s="374"/>
      <c r="E1085" s="374"/>
      <c r="F1085" s="374"/>
    </row>
    <row r="1086" customFormat="false" ht="14.25" hidden="false" customHeight="true" outlineLevel="0" collapsed="false">
      <c r="A1086" s="375" t="s">
        <v>1861</v>
      </c>
      <c r="B1086" s="376" t="n">
        <v>105</v>
      </c>
      <c r="C1086" s="376"/>
      <c r="D1086" s="376"/>
      <c r="E1086" s="376"/>
      <c r="F1086" s="376" t="s">
        <v>1862</v>
      </c>
    </row>
    <row r="1087" customFormat="false" ht="14.25" hidden="false" customHeight="true" outlineLevel="0" collapsed="false">
      <c r="A1087" s="373" t="s">
        <v>1863</v>
      </c>
      <c r="B1087" s="374" t="n">
        <v>250</v>
      </c>
      <c r="C1087" s="374"/>
      <c r="D1087" s="374"/>
      <c r="E1087" s="374"/>
      <c r="F1087" s="374" t="s">
        <v>1864</v>
      </c>
    </row>
    <row r="1088" customFormat="false" ht="14.25" hidden="false" customHeight="true" outlineLevel="0" collapsed="false">
      <c r="A1088" s="375" t="s">
        <v>1865</v>
      </c>
      <c r="B1088" s="376" t="n">
        <v>95</v>
      </c>
      <c r="C1088" s="376"/>
      <c r="D1088" s="376"/>
      <c r="E1088" s="376"/>
      <c r="F1088" s="376" t="s">
        <v>1866</v>
      </c>
    </row>
    <row r="1089" customFormat="false" ht="14.25" hidden="false" customHeight="true" outlineLevel="0" collapsed="false">
      <c r="A1089" s="373" t="s">
        <v>1867</v>
      </c>
      <c r="B1089" s="374" t="n">
        <v>95</v>
      </c>
      <c r="C1089" s="374"/>
      <c r="D1089" s="374"/>
      <c r="E1089" s="374"/>
      <c r="F1089" s="374" t="s">
        <v>1868</v>
      </c>
    </row>
    <row r="1090" customFormat="false" ht="14.25" hidden="false" customHeight="true" outlineLevel="0" collapsed="false">
      <c r="A1090" s="375" t="s">
        <v>1869</v>
      </c>
      <c r="B1090" s="376" t="n">
        <v>95</v>
      </c>
      <c r="C1090" s="376"/>
      <c r="D1090" s="376"/>
      <c r="E1090" s="376"/>
      <c r="F1090" s="376" t="s">
        <v>1868</v>
      </c>
    </row>
    <row r="1092" customFormat="false" ht="13.5" hidden="false" customHeight="true" outlineLevel="0" collapsed="false">
      <c r="A1092" s="369" t="s">
        <v>1870</v>
      </c>
      <c r="B1092" s="370"/>
      <c r="C1092" s="370"/>
      <c r="D1092" s="370"/>
      <c r="E1092" s="370"/>
      <c r="F1092" s="370"/>
      <c r="G1092" s="370"/>
    </row>
    <row r="1093" customFormat="false" ht="14.25" hidden="false" customHeight="true" outlineLevel="0" collapsed="false">
      <c r="A1093" s="371" t="s">
        <v>1701</v>
      </c>
      <c r="B1093" s="372" t="s">
        <v>152</v>
      </c>
      <c r="C1093" s="372"/>
      <c r="D1093" s="372"/>
      <c r="E1093" s="372"/>
      <c r="F1093" s="372" t="s">
        <v>7</v>
      </c>
    </row>
    <row r="1094" customFormat="false" ht="14.25" hidden="false" customHeight="true" outlineLevel="0" collapsed="false">
      <c r="A1094" s="375" t="s">
        <v>1871</v>
      </c>
      <c r="B1094" s="376" t="n">
        <v>500</v>
      </c>
      <c r="C1094" s="376"/>
      <c r="D1094" s="376"/>
      <c r="E1094" s="376"/>
      <c r="F1094" s="376" t="s">
        <v>1872</v>
      </c>
    </row>
    <row r="1097" customFormat="false" ht="18" hidden="false" customHeight="true" outlineLevel="0" collapsed="false">
      <c r="A1097" s="377" t="s">
        <v>1873</v>
      </c>
      <c r="B1097" s="377"/>
      <c r="C1097" s="377"/>
      <c r="D1097" s="377"/>
      <c r="E1097" s="377"/>
      <c r="F1097" s="377"/>
      <c r="G1097" s="377"/>
    </row>
    <row r="1098" customFormat="false" ht="13.5" hidden="false" customHeight="true" outlineLevel="0" collapsed="false">
      <c r="A1098" s="378" t="s">
        <v>1874</v>
      </c>
      <c r="B1098" s="378"/>
      <c r="C1098" s="378"/>
      <c r="D1098" s="378"/>
      <c r="E1098" s="378"/>
      <c r="F1098" s="378"/>
      <c r="G1098" s="378"/>
    </row>
    <row r="1099" customFormat="false" ht="27.75" hidden="false" customHeight="true" outlineLevel="0" collapsed="false">
      <c r="A1099" s="379" t="s">
        <v>1739</v>
      </c>
      <c r="B1099" s="380" t="s">
        <v>81</v>
      </c>
      <c r="C1099" s="380" t="s">
        <v>1875</v>
      </c>
      <c r="D1099" s="380" t="s">
        <v>1760</v>
      </c>
      <c r="E1099" s="380" t="s">
        <v>1876</v>
      </c>
      <c r="F1099" s="380" t="s">
        <v>1877</v>
      </c>
      <c r="G1099" s="380" t="s">
        <v>7</v>
      </c>
    </row>
    <row r="1100" customFormat="false" ht="18" hidden="false" customHeight="true" outlineLevel="0" collapsed="false">
      <c r="A1100" s="381" t="s">
        <v>1878</v>
      </c>
      <c r="B1100" s="382" t="n">
        <v>1319</v>
      </c>
      <c r="C1100" s="383" t="n">
        <v>923.3</v>
      </c>
      <c r="D1100" s="382" t="n">
        <v>395.7</v>
      </c>
      <c r="E1100" s="384" t="s">
        <v>1879</v>
      </c>
      <c r="F1100" s="384" t="s">
        <v>1880</v>
      </c>
      <c r="G1100" s="385" t="s">
        <v>1881</v>
      </c>
    </row>
    <row r="1101" customFormat="false" ht="18" hidden="false" customHeight="true" outlineLevel="0" collapsed="false">
      <c r="A1101" s="386" t="s">
        <v>1882</v>
      </c>
      <c r="B1101" s="387" t="n">
        <v>1419</v>
      </c>
      <c r="C1101" s="388" t="n">
        <v>993.3</v>
      </c>
      <c r="D1101" s="387" t="n">
        <v>425.7</v>
      </c>
      <c r="E1101" s="389" t="s">
        <v>1883</v>
      </c>
      <c r="F1101" s="389" t="s">
        <v>1884</v>
      </c>
      <c r="G1101" s="390" t="s">
        <v>1885</v>
      </c>
    </row>
    <row r="1102" customFormat="false" ht="18" hidden="false" customHeight="true" outlineLevel="0" collapsed="false">
      <c r="A1102" s="381" t="s">
        <v>1886</v>
      </c>
      <c r="B1102" s="382" t="n">
        <v>1359</v>
      </c>
      <c r="C1102" s="383" t="n">
        <v>951.3</v>
      </c>
      <c r="D1102" s="382" t="n">
        <v>407.7</v>
      </c>
      <c r="E1102" s="384" t="s">
        <v>1879</v>
      </c>
      <c r="F1102" s="384" t="s">
        <v>1887</v>
      </c>
      <c r="G1102" s="385" t="s">
        <v>1888</v>
      </c>
    </row>
    <row r="1103" customFormat="false" ht="18" hidden="false" customHeight="true" outlineLevel="0" collapsed="false">
      <c r="A1103" s="386" t="s">
        <v>1889</v>
      </c>
      <c r="B1103" s="387" t="n">
        <v>1459</v>
      </c>
      <c r="C1103" s="388" t="n">
        <v>1021.3</v>
      </c>
      <c r="D1103" s="387" t="n">
        <v>437.7</v>
      </c>
      <c r="E1103" s="389" t="s">
        <v>1883</v>
      </c>
      <c r="F1103" s="389" t="s">
        <v>1884</v>
      </c>
      <c r="G1103" s="390" t="s">
        <v>1890</v>
      </c>
    </row>
    <row r="1104" customFormat="false" ht="18" hidden="false" customHeight="true" outlineLevel="0" collapsed="false">
      <c r="A1104" s="381" t="s">
        <v>1891</v>
      </c>
      <c r="B1104" s="384"/>
      <c r="C1104" s="384"/>
      <c r="D1104" s="384"/>
      <c r="E1104" s="384" t="s">
        <v>1879</v>
      </c>
      <c r="F1104" s="384" t="s">
        <v>1884</v>
      </c>
      <c r="G1104" s="384" t="s">
        <v>1892</v>
      </c>
    </row>
    <row r="1105" customFormat="false" ht="18" hidden="false" customHeight="true" outlineLevel="0" collapsed="false">
      <c r="A1105" s="391" t="s">
        <v>1893</v>
      </c>
      <c r="B1105" s="392" t="n">
        <v>74</v>
      </c>
      <c r="C1105" s="392" t="n">
        <v>51.8</v>
      </c>
      <c r="D1105" s="392" t="n">
        <v>22.2</v>
      </c>
      <c r="E1105" s="393" t="s">
        <v>1894</v>
      </c>
      <c r="F1105" s="393" t="s">
        <v>1895</v>
      </c>
      <c r="G1105" s="393" t="s">
        <v>1896</v>
      </c>
    </row>
  </sheetData>
  <mergeCells count="5">
    <mergeCell ref="A957:F957"/>
    <mergeCell ref="A984:E984"/>
    <mergeCell ref="A1019:E1019"/>
    <mergeCell ref="A1097:G1097"/>
    <mergeCell ref="A1098:G109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8" min="3" style="1" width="18"/>
    <col collapsed="false" customWidth="true" hidden="false" outlineLevel="0" max="9" min="9" style="1" width="25"/>
  </cols>
  <sheetData>
    <row r="1" customFormat="false" ht="31.5" hidden="false" customHeight="true" outlineLevel="0" collapsed="false">
      <c r="A1" s="394" t="s">
        <v>1897</v>
      </c>
      <c r="B1" s="394"/>
      <c r="C1" s="394"/>
      <c r="D1" s="394"/>
      <c r="E1" s="394"/>
      <c r="F1" s="394"/>
      <c r="G1" s="394"/>
      <c r="H1" s="394"/>
      <c r="I1" s="394"/>
    </row>
    <row r="2" customFormat="false" ht="13.5" hidden="false" customHeight="true" outlineLevel="0" collapsed="false">
      <c r="A2" s="395" t="s">
        <v>1898</v>
      </c>
      <c r="B2" s="395"/>
      <c r="C2" s="395"/>
      <c r="D2" s="395"/>
      <c r="E2" s="395"/>
      <c r="F2" s="395"/>
      <c r="G2" s="395"/>
      <c r="H2" s="395"/>
      <c r="I2" s="395"/>
    </row>
    <row r="4" customFormat="false" ht="25.5" hidden="false" customHeight="true" outlineLevel="0" collapsed="false">
      <c r="A4" s="396" t="s">
        <v>1899</v>
      </c>
      <c r="B4" s="396"/>
      <c r="C4" s="396"/>
      <c r="D4" s="396"/>
      <c r="E4" s="396"/>
      <c r="F4" s="396"/>
      <c r="G4" s="396"/>
      <c r="H4" s="396"/>
      <c r="I4" s="396"/>
    </row>
    <row r="5" customFormat="false" ht="3.75" hidden="false" customHeight="true" outlineLevel="0" collapsed="false">
      <c r="A5" s="397"/>
      <c r="B5" s="397"/>
      <c r="C5" s="397"/>
      <c r="D5" s="397"/>
      <c r="E5" s="397"/>
      <c r="F5" s="397"/>
      <c r="G5" s="397"/>
      <c r="H5" s="397"/>
      <c r="I5" s="397"/>
    </row>
    <row r="6" customFormat="false" ht="18" hidden="false" customHeight="true" outlineLevel="0" collapsed="false">
      <c r="A6" s="398" t="s">
        <v>1900</v>
      </c>
      <c r="B6" s="398"/>
      <c r="C6" s="398"/>
      <c r="D6" s="398"/>
      <c r="E6" s="398"/>
      <c r="F6" s="398"/>
      <c r="G6" s="398"/>
      <c r="H6" s="398"/>
      <c r="I6" s="398"/>
    </row>
    <row r="7" customFormat="false" ht="30" hidden="false" customHeight="true" outlineLevel="0" collapsed="false">
      <c r="A7" s="399" t="s">
        <v>262</v>
      </c>
      <c r="B7" s="399" t="s">
        <v>1901</v>
      </c>
      <c r="C7" s="399" t="s">
        <v>3</v>
      </c>
      <c r="D7" s="399" t="s">
        <v>265</v>
      </c>
      <c r="E7" s="399" t="s">
        <v>1902</v>
      </c>
      <c r="F7" s="399" t="s">
        <v>1903</v>
      </c>
      <c r="G7" s="399" t="s">
        <v>1904</v>
      </c>
      <c r="H7" s="399" t="s">
        <v>1905</v>
      </c>
      <c r="I7" s="399" t="s">
        <v>7</v>
      </c>
    </row>
    <row r="8" customFormat="false" ht="18" hidden="false" customHeight="true" outlineLevel="0" collapsed="false">
      <c r="A8" s="400" t="s">
        <v>287</v>
      </c>
      <c r="B8" s="401" t="s">
        <v>1906</v>
      </c>
      <c r="C8" s="401" t="s">
        <v>1907</v>
      </c>
      <c r="D8" s="401" t="s">
        <v>1908</v>
      </c>
      <c r="E8" s="401" t="s">
        <v>1909</v>
      </c>
      <c r="F8" s="401" t="s">
        <v>1910</v>
      </c>
      <c r="G8" s="401" t="s">
        <v>1911</v>
      </c>
      <c r="H8" s="401" t="s">
        <v>1912</v>
      </c>
      <c r="I8" s="402"/>
    </row>
    <row r="9" customFormat="false" ht="18" hidden="false" customHeight="true" outlineLevel="0" collapsed="false">
      <c r="A9" s="403" t="s">
        <v>1913</v>
      </c>
      <c r="B9" s="404" t="s">
        <v>1914</v>
      </c>
      <c r="C9" s="404" t="s">
        <v>1907</v>
      </c>
      <c r="D9" s="404" t="s">
        <v>1908</v>
      </c>
      <c r="E9" s="404" t="s">
        <v>1915</v>
      </c>
      <c r="F9" s="404" t="s">
        <v>1910</v>
      </c>
      <c r="G9" s="404" t="s">
        <v>1916</v>
      </c>
      <c r="H9" s="404" t="s">
        <v>1917</v>
      </c>
      <c r="I9" s="405"/>
    </row>
    <row r="10" customFormat="false" ht="18" hidden="false" customHeight="true" outlineLevel="0" collapsed="false">
      <c r="A10" s="400" t="s">
        <v>1918</v>
      </c>
      <c r="B10" s="401" t="s">
        <v>1919</v>
      </c>
      <c r="C10" s="401" t="s">
        <v>1907</v>
      </c>
      <c r="D10" s="401" t="s">
        <v>1908</v>
      </c>
      <c r="E10" s="401" t="s">
        <v>1920</v>
      </c>
      <c r="F10" s="401" t="s">
        <v>1910</v>
      </c>
      <c r="G10" s="401" t="s">
        <v>1921</v>
      </c>
      <c r="H10" s="401" t="s">
        <v>1922</v>
      </c>
      <c r="I10" s="402"/>
    </row>
    <row r="11" customFormat="false" ht="18" hidden="false" customHeight="true" outlineLevel="0" collapsed="false">
      <c r="A11" s="403" t="s">
        <v>293</v>
      </c>
      <c r="B11" s="404" t="s">
        <v>1923</v>
      </c>
      <c r="C11" s="404" t="s">
        <v>1924</v>
      </c>
      <c r="D11" s="404" t="s">
        <v>1925</v>
      </c>
      <c r="E11" s="404" t="s">
        <v>764</v>
      </c>
      <c r="F11" s="404" t="s">
        <v>1910</v>
      </c>
      <c r="G11" s="404" t="s">
        <v>1926</v>
      </c>
      <c r="H11" s="404" t="s">
        <v>1927</v>
      </c>
      <c r="I11" s="405"/>
    </row>
    <row r="12" customFormat="false" ht="18" hidden="false" customHeight="true" outlineLevel="0" collapsed="false">
      <c r="A12" s="400" t="s">
        <v>1928</v>
      </c>
      <c r="B12" s="401" t="s">
        <v>1929</v>
      </c>
      <c r="C12" s="401" t="s">
        <v>1930</v>
      </c>
      <c r="D12" s="401" t="s">
        <v>1931</v>
      </c>
      <c r="E12" s="401" t="s">
        <v>764</v>
      </c>
      <c r="F12" s="401" t="s">
        <v>1932</v>
      </c>
      <c r="G12" s="401" t="s">
        <v>1933</v>
      </c>
      <c r="H12" s="401" t="s">
        <v>1934</v>
      </c>
      <c r="I12" s="402"/>
    </row>
    <row r="13" customFormat="false" ht="18" hidden="false" customHeight="true" outlineLevel="0" collapsed="false">
      <c r="A13" s="403" t="s">
        <v>1935</v>
      </c>
      <c r="B13" s="404" t="s">
        <v>1936</v>
      </c>
      <c r="C13" s="404" t="s">
        <v>1937</v>
      </c>
      <c r="D13" s="404" t="s">
        <v>1938</v>
      </c>
      <c r="E13" s="404" t="s">
        <v>1939</v>
      </c>
      <c r="F13" s="404" t="s">
        <v>1940</v>
      </c>
      <c r="G13" s="404" t="s">
        <v>1941</v>
      </c>
      <c r="H13" s="404" t="s">
        <v>1942</v>
      </c>
      <c r="I13" s="404" t="s">
        <v>1943</v>
      </c>
    </row>
    <row r="16" customFormat="false" ht="25.5" hidden="false" customHeight="true" outlineLevel="0" collapsed="false">
      <c r="A16" s="396" t="s">
        <v>1944</v>
      </c>
      <c r="B16" s="396"/>
      <c r="C16" s="396"/>
      <c r="D16" s="396"/>
      <c r="E16" s="396"/>
      <c r="F16" s="396"/>
      <c r="G16" s="396"/>
      <c r="H16" s="396"/>
      <c r="I16" s="396"/>
    </row>
    <row r="17" customFormat="false" ht="3.75" hidden="false" customHeight="true" outlineLevel="0" collapsed="false">
      <c r="A17" s="397"/>
      <c r="B17" s="397"/>
      <c r="C17" s="397"/>
      <c r="D17" s="397"/>
      <c r="E17" s="397"/>
      <c r="F17" s="397"/>
      <c r="G17" s="397"/>
      <c r="H17" s="397"/>
      <c r="I17" s="397"/>
    </row>
    <row r="18" customFormat="false" ht="18" hidden="false" customHeight="true" outlineLevel="0" collapsed="false">
      <c r="A18" s="406" t="s">
        <v>1945</v>
      </c>
      <c r="B18" s="406"/>
      <c r="C18" s="406"/>
      <c r="D18" s="406"/>
      <c r="E18" s="406"/>
      <c r="F18" s="406"/>
      <c r="G18" s="406"/>
      <c r="H18" s="406"/>
      <c r="I18" s="406"/>
    </row>
    <row r="19" customFormat="false" ht="30" hidden="false" customHeight="true" outlineLevel="0" collapsed="false">
      <c r="A19" s="399" t="s">
        <v>1946</v>
      </c>
      <c r="B19" s="399" t="s">
        <v>1947</v>
      </c>
      <c r="C19" s="399" t="s">
        <v>7</v>
      </c>
      <c r="D19" s="399"/>
      <c r="E19" s="399"/>
      <c r="F19" s="399"/>
      <c r="G19" s="399"/>
      <c r="H19" s="399"/>
      <c r="I19" s="399"/>
    </row>
    <row r="20" customFormat="false" ht="18" hidden="false" customHeight="true" outlineLevel="0" collapsed="false">
      <c r="A20" s="400" t="s">
        <v>3</v>
      </c>
      <c r="B20" s="401" t="s">
        <v>1907</v>
      </c>
      <c r="C20" s="402"/>
      <c r="D20" s="402"/>
      <c r="E20" s="402"/>
      <c r="F20" s="402"/>
      <c r="G20" s="402"/>
      <c r="H20" s="402"/>
      <c r="I20" s="402"/>
    </row>
    <row r="21" customFormat="false" ht="18" hidden="false" customHeight="true" outlineLevel="0" collapsed="false">
      <c r="A21" s="403" t="s">
        <v>265</v>
      </c>
      <c r="B21" s="404" t="s">
        <v>1908</v>
      </c>
      <c r="C21" s="405"/>
      <c r="D21" s="405"/>
      <c r="E21" s="405"/>
      <c r="F21" s="405"/>
      <c r="G21" s="405"/>
      <c r="H21" s="405"/>
      <c r="I21" s="405"/>
    </row>
    <row r="22" customFormat="false" ht="18" hidden="false" customHeight="true" outlineLevel="0" collapsed="false">
      <c r="A22" s="400" t="s">
        <v>1948</v>
      </c>
      <c r="B22" s="401" t="s">
        <v>1949</v>
      </c>
      <c r="C22" s="402"/>
      <c r="D22" s="402"/>
      <c r="E22" s="402"/>
      <c r="F22" s="402"/>
      <c r="G22" s="402"/>
      <c r="H22" s="402"/>
      <c r="I22" s="402"/>
    </row>
    <row r="23" customFormat="false" ht="18" hidden="false" customHeight="true" outlineLevel="0" collapsed="false">
      <c r="A23" s="403" t="s">
        <v>267</v>
      </c>
      <c r="B23" s="404" t="s">
        <v>1950</v>
      </c>
      <c r="C23" s="405"/>
      <c r="D23" s="405"/>
      <c r="E23" s="405"/>
      <c r="F23" s="405"/>
      <c r="G23" s="405"/>
      <c r="H23" s="405"/>
      <c r="I23" s="405"/>
    </row>
    <row r="24" customFormat="false" ht="18" hidden="false" customHeight="true" outlineLevel="0" collapsed="false">
      <c r="A24" s="400" t="s">
        <v>1951</v>
      </c>
      <c r="B24" s="401" t="s">
        <v>1952</v>
      </c>
      <c r="C24" s="402"/>
      <c r="D24" s="402"/>
      <c r="E24" s="402"/>
      <c r="F24" s="402"/>
      <c r="G24" s="402"/>
      <c r="H24" s="402"/>
      <c r="I24" s="402"/>
    </row>
    <row r="25" customFormat="false" ht="18" hidden="false" customHeight="true" outlineLevel="0" collapsed="false">
      <c r="A25" s="403" t="s">
        <v>1953</v>
      </c>
      <c r="B25" s="404" t="s">
        <v>1954</v>
      </c>
      <c r="C25" s="405"/>
      <c r="D25" s="405"/>
      <c r="E25" s="405"/>
      <c r="F25" s="405"/>
      <c r="G25" s="405"/>
      <c r="H25" s="405"/>
      <c r="I25" s="405"/>
    </row>
    <row r="26" customFormat="false" ht="18" hidden="false" customHeight="true" outlineLevel="0" collapsed="false">
      <c r="A26" s="400" t="s">
        <v>1955</v>
      </c>
      <c r="B26" s="407" t="s">
        <v>166</v>
      </c>
      <c r="C26" s="402"/>
      <c r="D26" s="402"/>
      <c r="E26" s="402"/>
      <c r="F26" s="402"/>
      <c r="G26" s="402"/>
      <c r="H26" s="402"/>
      <c r="I26" s="402"/>
    </row>
    <row r="27" customFormat="false" ht="18" hidden="false" customHeight="true" outlineLevel="0" collapsed="false">
      <c r="A27" s="403" t="s">
        <v>1956</v>
      </c>
      <c r="B27" s="404" t="s">
        <v>1957</v>
      </c>
      <c r="C27" s="404" t="s">
        <v>1958</v>
      </c>
      <c r="D27" s="405"/>
      <c r="E27" s="405"/>
      <c r="F27" s="405"/>
      <c r="G27" s="405"/>
      <c r="H27" s="405"/>
      <c r="I27" s="405"/>
    </row>
    <row r="28" customFormat="false" ht="15.75" hidden="false" customHeight="true" outlineLevel="0" collapsed="false">
      <c r="A28" s="408" t="s">
        <v>1959</v>
      </c>
      <c r="B28" s="408"/>
      <c r="C28" s="408"/>
      <c r="D28" s="408"/>
      <c r="E28" s="408"/>
      <c r="F28" s="408"/>
      <c r="G28" s="408"/>
      <c r="H28" s="408"/>
      <c r="I28" s="408"/>
    </row>
    <row r="30" customFormat="false" ht="18" hidden="false" customHeight="true" outlineLevel="0" collapsed="false">
      <c r="A30" s="406" t="s">
        <v>1960</v>
      </c>
      <c r="B30" s="406"/>
      <c r="C30" s="406"/>
      <c r="D30" s="406"/>
      <c r="E30" s="406"/>
      <c r="F30" s="406"/>
      <c r="G30" s="406"/>
      <c r="H30" s="406"/>
      <c r="I30" s="406"/>
    </row>
    <row r="31" customFormat="false" ht="30" hidden="false" customHeight="true" outlineLevel="0" collapsed="false">
      <c r="A31" s="399" t="s">
        <v>1946</v>
      </c>
      <c r="B31" s="399" t="s">
        <v>1947</v>
      </c>
      <c r="C31" s="399" t="s">
        <v>7</v>
      </c>
      <c r="D31" s="399"/>
      <c r="E31" s="399"/>
      <c r="F31" s="399"/>
      <c r="G31" s="399"/>
      <c r="H31" s="399"/>
      <c r="I31" s="399"/>
    </row>
    <row r="32" customFormat="false" ht="18" hidden="false" customHeight="true" outlineLevel="0" collapsed="false">
      <c r="A32" s="400" t="s">
        <v>3</v>
      </c>
      <c r="B32" s="401" t="s">
        <v>1907</v>
      </c>
      <c r="C32" s="402"/>
      <c r="D32" s="402"/>
      <c r="E32" s="402"/>
      <c r="F32" s="402"/>
      <c r="G32" s="402"/>
      <c r="H32" s="402"/>
      <c r="I32" s="402"/>
    </row>
    <row r="33" customFormat="false" ht="18" hidden="false" customHeight="true" outlineLevel="0" collapsed="false">
      <c r="A33" s="403" t="s">
        <v>265</v>
      </c>
      <c r="B33" s="404" t="s">
        <v>1961</v>
      </c>
      <c r="C33" s="405"/>
      <c r="D33" s="405"/>
      <c r="E33" s="405"/>
      <c r="F33" s="405"/>
      <c r="G33" s="405"/>
      <c r="H33" s="405"/>
      <c r="I33" s="405"/>
    </row>
    <row r="34" customFormat="false" ht="18" hidden="false" customHeight="true" outlineLevel="0" collapsed="false">
      <c r="A34" s="400" t="s">
        <v>1948</v>
      </c>
      <c r="B34" s="401" t="s">
        <v>1962</v>
      </c>
      <c r="C34" s="402"/>
      <c r="D34" s="402"/>
      <c r="E34" s="402"/>
      <c r="F34" s="402"/>
      <c r="G34" s="402"/>
      <c r="H34" s="402"/>
      <c r="I34" s="402"/>
    </row>
    <row r="35" customFormat="false" ht="18" hidden="false" customHeight="true" outlineLevel="0" collapsed="false">
      <c r="A35" s="403" t="s">
        <v>267</v>
      </c>
      <c r="B35" s="404" t="s">
        <v>1950</v>
      </c>
      <c r="C35" s="405"/>
      <c r="D35" s="405"/>
      <c r="E35" s="405"/>
      <c r="F35" s="405"/>
      <c r="G35" s="405"/>
      <c r="H35" s="405"/>
      <c r="I35" s="405"/>
    </row>
    <row r="36" customFormat="false" ht="18" hidden="false" customHeight="true" outlineLevel="0" collapsed="false">
      <c r="A36" s="400" t="s">
        <v>1951</v>
      </c>
      <c r="B36" s="401" t="s">
        <v>1952</v>
      </c>
      <c r="C36" s="402"/>
      <c r="D36" s="402"/>
      <c r="E36" s="402"/>
      <c r="F36" s="402"/>
      <c r="G36" s="402"/>
      <c r="H36" s="402"/>
      <c r="I36" s="402"/>
    </row>
    <row r="37" customFormat="false" ht="18" hidden="false" customHeight="true" outlineLevel="0" collapsed="false">
      <c r="A37" s="403" t="s">
        <v>1953</v>
      </c>
      <c r="B37" s="404" t="s">
        <v>1954</v>
      </c>
      <c r="C37" s="405"/>
      <c r="D37" s="405"/>
      <c r="E37" s="405"/>
      <c r="F37" s="405"/>
      <c r="G37" s="405"/>
      <c r="H37" s="405"/>
      <c r="I37" s="405"/>
    </row>
    <row r="38" customFormat="false" ht="18" hidden="false" customHeight="true" outlineLevel="0" collapsed="false">
      <c r="A38" s="400" t="s">
        <v>1955</v>
      </c>
      <c r="B38" s="407" t="s">
        <v>166</v>
      </c>
      <c r="C38" s="402"/>
      <c r="D38" s="402"/>
      <c r="E38" s="402"/>
      <c r="F38" s="402"/>
      <c r="G38" s="402"/>
      <c r="H38" s="402"/>
      <c r="I38" s="402"/>
    </row>
    <row r="39" customFormat="false" ht="18" hidden="false" customHeight="true" outlineLevel="0" collapsed="false">
      <c r="A39" s="403" t="s">
        <v>1956</v>
      </c>
      <c r="B39" s="404" t="s">
        <v>1957</v>
      </c>
      <c r="C39" s="404" t="s">
        <v>1958</v>
      </c>
      <c r="D39" s="405"/>
      <c r="E39" s="405"/>
      <c r="F39" s="405"/>
      <c r="G39" s="405"/>
      <c r="H39" s="405"/>
      <c r="I39" s="405"/>
    </row>
    <row r="40" customFormat="false" ht="15.75" hidden="false" customHeight="true" outlineLevel="0" collapsed="false">
      <c r="A40" s="408" t="s">
        <v>1959</v>
      </c>
      <c r="B40" s="408"/>
      <c r="C40" s="408"/>
      <c r="D40" s="408"/>
      <c r="E40" s="408"/>
      <c r="F40" s="408"/>
      <c r="G40" s="408"/>
      <c r="H40" s="408"/>
      <c r="I40" s="408"/>
    </row>
    <row r="42" customFormat="false" ht="18" hidden="false" customHeight="true" outlineLevel="0" collapsed="false">
      <c r="A42" s="406" t="s">
        <v>1963</v>
      </c>
      <c r="B42" s="406"/>
      <c r="C42" s="406"/>
      <c r="D42" s="406"/>
      <c r="E42" s="406"/>
      <c r="F42" s="406"/>
      <c r="G42" s="406"/>
      <c r="H42" s="406"/>
      <c r="I42" s="406"/>
    </row>
    <row r="43" customFormat="false" ht="30" hidden="false" customHeight="true" outlineLevel="0" collapsed="false">
      <c r="A43" s="399" t="s">
        <v>1946</v>
      </c>
      <c r="B43" s="399" t="s">
        <v>1947</v>
      </c>
      <c r="C43" s="399" t="s">
        <v>7</v>
      </c>
      <c r="D43" s="399"/>
      <c r="E43" s="399"/>
      <c r="F43" s="399"/>
      <c r="G43" s="399"/>
      <c r="H43" s="399"/>
      <c r="I43" s="399"/>
    </row>
    <row r="44" customFormat="false" ht="18" hidden="false" customHeight="true" outlineLevel="0" collapsed="false">
      <c r="A44" s="400" t="s">
        <v>3</v>
      </c>
      <c r="B44" s="401" t="s">
        <v>1907</v>
      </c>
      <c r="C44" s="402"/>
      <c r="D44" s="402"/>
      <c r="E44" s="402"/>
      <c r="F44" s="402"/>
      <c r="G44" s="402"/>
      <c r="H44" s="402"/>
      <c r="I44" s="402"/>
    </row>
    <row r="45" customFormat="false" ht="18" hidden="false" customHeight="true" outlineLevel="0" collapsed="false">
      <c r="A45" s="403" t="s">
        <v>265</v>
      </c>
      <c r="B45" s="404" t="s">
        <v>1961</v>
      </c>
      <c r="C45" s="405"/>
      <c r="D45" s="405"/>
      <c r="E45" s="405"/>
      <c r="F45" s="405"/>
      <c r="G45" s="405"/>
      <c r="H45" s="405"/>
      <c r="I45" s="405"/>
    </row>
    <row r="46" customFormat="false" ht="18" hidden="false" customHeight="true" outlineLevel="0" collapsed="false">
      <c r="A46" s="400" t="s">
        <v>1964</v>
      </c>
      <c r="B46" s="401" t="s">
        <v>1965</v>
      </c>
      <c r="C46" s="402"/>
      <c r="D46" s="402"/>
      <c r="E46" s="402"/>
      <c r="F46" s="402"/>
      <c r="G46" s="402"/>
      <c r="H46" s="402"/>
      <c r="I46" s="402"/>
    </row>
    <row r="47" customFormat="false" ht="18" hidden="false" customHeight="true" outlineLevel="0" collapsed="false">
      <c r="A47" s="403" t="s">
        <v>1953</v>
      </c>
      <c r="B47" s="404" t="s">
        <v>1966</v>
      </c>
      <c r="C47" s="405"/>
      <c r="D47" s="405"/>
      <c r="E47" s="405"/>
      <c r="F47" s="405"/>
      <c r="G47" s="405"/>
      <c r="H47" s="405"/>
      <c r="I47" s="405"/>
    </row>
    <row r="48" customFormat="false" ht="18" hidden="false" customHeight="true" outlineLevel="0" collapsed="false">
      <c r="A48" s="400" t="s">
        <v>267</v>
      </c>
      <c r="B48" s="401" t="s">
        <v>1950</v>
      </c>
      <c r="C48" s="402"/>
      <c r="D48" s="402"/>
      <c r="E48" s="402"/>
      <c r="F48" s="402"/>
      <c r="G48" s="402"/>
      <c r="H48" s="402"/>
      <c r="I48" s="402"/>
    </row>
    <row r="49" customFormat="false" ht="18" hidden="false" customHeight="true" outlineLevel="0" collapsed="false">
      <c r="A49" s="403" t="s">
        <v>1951</v>
      </c>
      <c r="B49" s="404" t="s">
        <v>1952</v>
      </c>
      <c r="C49" s="405"/>
      <c r="D49" s="405"/>
      <c r="E49" s="405"/>
      <c r="F49" s="405"/>
      <c r="G49" s="405"/>
      <c r="H49" s="405"/>
      <c r="I49" s="405"/>
    </row>
    <row r="50" customFormat="false" ht="18" hidden="false" customHeight="true" outlineLevel="0" collapsed="false">
      <c r="A50" s="400" t="s">
        <v>1955</v>
      </c>
      <c r="B50" s="407" t="s">
        <v>166</v>
      </c>
      <c r="C50" s="402"/>
      <c r="D50" s="402"/>
      <c r="E50" s="402"/>
      <c r="F50" s="402"/>
      <c r="G50" s="402"/>
      <c r="H50" s="402"/>
      <c r="I50" s="402"/>
    </row>
    <row r="51" customFormat="false" ht="18" hidden="false" customHeight="true" outlineLevel="0" collapsed="false">
      <c r="A51" s="403" t="s">
        <v>1956</v>
      </c>
      <c r="B51" s="404" t="s">
        <v>1957</v>
      </c>
      <c r="C51" s="404" t="s">
        <v>1958</v>
      </c>
      <c r="D51" s="405"/>
      <c r="E51" s="405"/>
      <c r="F51" s="405"/>
      <c r="G51" s="405"/>
      <c r="H51" s="405"/>
      <c r="I51" s="405"/>
    </row>
    <row r="52" customFormat="false" ht="15.75" hidden="false" customHeight="true" outlineLevel="0" collapsed="false">
      <c r="A52" s="408" t="s">
        <v>1959</v>
      </c>
      <c r="B52" s="408"/>
      <c r="C52" s="408"/>
      <c r="D52" s="408"/>
      <c r="E52" s="408"/>
      <c r="F52" s="408"/>
      <c r="G52" s="408"/>
      <c r="H52" s="408"/>
      <c r="I52" s="408"/>
    </row>
    <row r="54" customFormat="false" ht="18" hidden="false" customHeight="true" outlineLevel="0" collapsed="false">
      <c r="A54" s="406" t="s">
        <v>1967</v>
      </c>
      <c r="B54" s="406"/>
      <c r="C54" s="406"/>
      <c r="D54" s="406"/>
      <c r="E54" s="406"/>
      <c r="F54" s="406"/>
      <c r="G54" s="406"/>
      <c r="H54" s="406"/>
      <c r="I54" s="406"/>
    </row>
    <row r="55" customFormat="false" ht="30" hidden="false" customHeight="true" outlineLevel="0" collapsed="false">
      <c r="A55" s="399" t="s">
        <v>1946</v>
      </c>
      <c r="B55" s="399" t="s">
        <v>1947</v>
      </c>
      <c r="C55" s="399" t="s">
        <v>7</v>
      </c>
      <c r="D55" s="399"/>
      <c r="E55" s="399"/>
      <c r="F55" s="399"/>
      <c r="G55" s="399"/>
      <c r="H55" s="399"/>
      <c r="I55" s="399"/>
    </row>
    <row r="56" customFormat="false" ht="18" hidden="false" customHeight="true" outlineLevel="0" collapsed="false">
      <c r="A56" s="400" t="s">
        <v>3</v>
      </c>
      <c r="B56" s="401" t="s">
        <v>1924</v>
      </c>
      <c r="C56" s="402"/>
      <c r="D56" s="402"/>
      <c r="E56" s="402"/>
      <c r="F56" s="402"/>
      <c r="G56" s="402"/>
      <c r="H56" s="402"/>
      <c r="I56" s="402"/>
    </row>
    <row r="57" customFormat="false" ht="18" hidden="false" customHeight="true" outlineLevel="0" collapsed="false">
      <c r="A57" s="403" t="s">
        <v>265</v>
      </c>
      <c r="B57" s="404" t="s">
        <v>1925</v>
      </c>
      <c r="C57" s="405"/>
      <c r="D57" s="405"/>
      <c r="E57" s="405"/>
      <c r="F57" s="405"/>
      <c r="G57" s="405"/>
      <c r="H57" s="405"/>
      <c r="I57" s="405"/>
    </row>
    <row r="58" customFormat="false" ht="18" hidden="false" customHeight="true" outlineLevel="0" collapsed="false">
      <c r="A58" s="400" t="s">
        <v>1964</v>
      </c>
      <c r="B58" s="401" t="s">
        <v>764</v>
      </c>
      <c r="C58" s="402"/>
      <c r="D58" s="402"/>
      <c r="E58" s="402"/>
      <c r="F58" s="402"/>
      <c r="G58" s="402"/>
      <c r="H58" s="402"/>
      <c r="I58" s="402"/>
    </row>
    <row r="59" customFormat="false" ht="18" hidden="false" customHeight="true" outlineLevel="0" collapsed="false">
      <c r="A59" s="403" t="s">
        <v>267</v>
      </c>
      <c r="B59" s="404" t="s">
        <v>1950</v>
      </c>
      <c r="C59" s="405"/>
      <c r="D59" s="405"/>
      <c r="E59" s="405"/>
      <c r="F59" s="405"/>
      <c r="G59" s="405"/>
      <c r="H59" s="405"/>
      <c r="I59" s="405"/>
    </row>
    <row r="60" customFormat="false" ht="18" hidden="false" customHeight="true" outlineLevel="0" collapsed="false">
      <c r="A60" s="400" t="s">
        <v>1955</v>
      </c>
      <c r="B60" s="407" t="s">
        <v>166</v>
      </c>
      <c r="C60" s="402"/>
      <c r="D60" s="402"/>
      <c r="E60" s="402"/>
      <c r="F60" s="402"/>
      <c r="G60" s="402"/>
      <c r="H60" s="402"/>
      <c r="I60" s="402"/>
    </row>
    <row r="61" customFormat="false" ht="18" hidden="false" customHeight="true" outlineLevel="0" collapsed="false">
      <c r="A61" s="403" t="s">
        <v>1956</v>
      </c>
      <c r="B61" s="404" t="s">
        <v>1957</v>
      </c>
      <c r="C61" s="404" t="s">
        <v>1958</v>
      </c>
      <c r="D61" s="405"/>
      <c r="E61" s="405"/>
      <c r="F61" s="405"/>
      <c r="G61" s="405"/>
      <c r="H61" s="405"/>
      <c r="I61" s="405"/>
    </row>
    <row r="62" customFormat="false" ht="15.75" hidden="false" customHeight="true" outlineLevel="0" collapsed="false">
      <c r="A62" s="408" t="s">
        <v>1959</v>
      </c>
      <c r="B62" s="408"/>
      <c r="C62" s="408"/>
      <c r="D62" s="408"/>
      <c r="E62" s="408"/>
      <c r="F62" s="408"/>
      <c r="G62" s="408"/>
      <c r="H62" s="408"/>
      <c r="I62" s="408"/>
    </row>
    <row r="64" customFormat="false" ht="18" hidden="false" customHeight="true" outlineLevel="0" collapsed="false">
      <c r="A64" s="406" t="s">
        <v>1968</v>
      </c>
      <c r="B64" s="406"/>
      <c r="C64" s="406"/>
      <c r="D64" s="406"/>
      <c r="E64" s="406"/>
      <c r="F64" s="406"/>
      <c r="G64" s="406"/>
      <c r="H64" s="406"/>
      <c r="I64" s="406"/>
    </row>
    <row r="65" customFormat="false" ht="30" hidden="false" customHeight="true" outlineLevel="0" collapsed="false">
      <c r="A65" s="399" t="s">
        <v>1946</v>
      </c>
      <c r="B65" s="399" t="s">
        <v>1947</v>
      </c>
      <c r="C65" s="399" t="s">
        <v>7</v>
      </c>
      <c r="D65" s="399"/>
      <c r="E65" s="399"/>
      <c r="F65" s="399"/>
      <c r="G65" s="399"/>
      <c r="H65" s="399"/>
      <c r="I65" s="399"/>
    </row>
    <row r="66" customFormat="false" ht="18" hidden="false" customHeight="true" outlineLevel="0" collapsed="false">
      <c r="A66" s="400" t="s">
        <v>3</v>
      </c>
      <c r="B66" s="401" t="s">
        <v>1969</v>
      </c>
      <c r="C66" s="402"/>
      <c r="D66" s="402"/>
      <c r="E66" s="402"/>
      <c r="F66" s="402"/>
      <c r="G66" s="402"/>
      <c r="H66" s="402"/>
      <c r="I66" s="402"/>
    </row>
    <row r="67" customFormat="false" ht="18" hidden="false" customHeight="true" outlineLevel="0" collapsed="false">
      <c r="A67" s="403" t="s">
        <v>265</v>
      </c>
      <c r="B67" s="404" t="s">
        <v>1931</v>
      </c>
      <c r="C67" s="405"/>
      <c r="D67" s="405"/>
      <c r="E67" s="405"/>
      <c r="F67" s="405"/>
      <c r="G67" s="405"/>
      <c r="H67" s="405"/>
      <c r="I67" s="405"/>
    </row>
    <row r="68" customFormat="false" ht="18" hidden="false" customHeight="true" outlineLevel="0" collapsed="false">
      <c r="A68" s="400" t="s">
        <v>1964</v>
      </c>
      <c r="B68" s="401" t="s">
        <v>764</v>
      </c>
      <c r="C68" s="402"/>
      <c r="D68" s="402"/>
      <c r="E68" s="402"/>
      <c r="F68" s="402"/>
      <c r="G68" s="402"/>
      <c r="H68" s="402"/>
      <c r="I68" s="402"/>
    </row>
    <row r="69" customFormat="false" ht="18" hidden="false" customHeight="true" outlineLevel="0" collapsed="false">
      <c r="A69" s="403" t="s">
        <v>267</v>
      </c>
      <c r="B69" s="404" t="s">
        <v>1950</v>
      </c>
      <c r="C69" s="405"/>
      <c r="D69" s="405"/>
      <c r="E69" s="405"/>
      <c r="F69" s="405"/>
      <c r="G69" s="405"/>
      <c r="H69" s="405"/>
      <c r="I69" s="405"/>
    </row>
    <row r="70" customFormat="false" ht="18" hidden="false" customHeight="true" outlineLevel="0" collapsed="false">
      <c r="A70" s="400" t="s">
        <v>1951</v>
      </c>
      <c r="B70" s="401" t="s">
        <v>1952</v>
      </c>
      <c r="C70" s="402"/>
      <c r="D70" s="402"/>
      <c r="E70" s="402"/>
      <c r="F70" s="402"/>
      <c r="G70" s="402"/>
      <c r="H70" s="402"/>
      <c r="I70" s="402"/>
    </row>
    <row r="71" customFormat="false" ht="18" hidden="false" customHeight="true" outlineLevel="0" collapsed="false">
      <c r="A71" s="403" t="s">
        <v>1955</v>
      </c>
      <c r="B71" s="409" t="s">
        <v>166</v>
      </c>
      <c r="C71" s="405"/>
      <c r="D71" s="405"/>
      <c r="E71" s="405"/>
      <c r="F71" s="405"/>
      <c r="G71" s="405"/>
      <c r="H71" s="405"/>
      <c r="I71" s="405"/>
    </row>
    <row r="72" customFormat="false" ht="18" hidden="false" customHeight="true" outlineLevel="0" collapsed="false">
      <c r="A72" s="400" t="s">
        <v>1956</v>
      </c>
      <c r="B72" s="401" t="s">
        <v>1957</v>
      </c>
      <c r="C72" s="401" t="s">
        <v>1958</v>
      </c>
      <c r="D72" s="402"/>
      <c r="E72" s="402"/>
      <c r="F72" s="402"/>
      <c r="G72" s="402"/>
      <c r="H72" s="402"/>
      <c r="I72" s="402"/>
    </row>
    <row r="73" customFormat="false" ht="15.75" hidden="false" customHeight="true" outlineLevel="0" collapsed="false">
      <c r="A73" s="408" t="s">
        <v>1970</v>
      </c>
      <c r="B73" s="408"/>
      <c r="C73" s="408"/>
      <c r="D73" s="408"/>
      <c r="E73" s="408"/>
      <c r="F73" s="408"/>
      <c r="G73" s="408"/>
      <c r="H73" s="408"/>
      <c r="I73" s="408"/>
    </row>
    <row r="75" customFormat="false" ht="18" hidden="false" customHeight="true" outlineLevel="0" collapsed="false">
      <c r="A75" s="406" t="s">
        <v>1971</v>
      </c>
      <c r="B75" s="406"/>
      <c r="C75" s="406"/>
      <c r="D75" s="406"/>
      <c r="E75" s="406"/>
      <c r="F75" s="406"/>
      <c r="G75" s="406"/>
      <c r="H75" s="406"/>
      <c r="I75" s="406"/>
    </row>
    <row r="76" customFormat="false" ht="30" hidden="false" customHeight="true" outlineLevel="0" collapsed="false">
      <c r="A76" s="399" t="s">
        <v>1946</v>
      </c>
      <c r="B76" s="399" t="s">
        <v>1947</v>
      </c>
      <c r="C76" s="399" t="s">
        <v>7</v>
      </c>
      <c r="D76" s="399"/>
      <c r="E76" s="399"/>
      <c r="F76" s="399"/>
      <c r="G76" s="399"/>
      <c r="H76" s="399"/>
      <c r="I76" s="399"/>
    </row>
    <row r="77" customFormat="false" ht="18" hidden="false" customHeight="true" outlineLevel="0" collapsed="false">
      <c r="A77" s="400" t="s">
        <v>3</v>
      </c>
      <c r="B77" s="401" t="s">
        <v>1972</v>
      </c>
      <c r="C77" s="402"/>
      <c r="D77" s="402"/>
      <c r="E77" s="402"/>
      <c r="F77" s="402"/>
      <c r="G77" s="402"/>
      <c r="H77" s="402"/>
      <c r="I77" s="402"/>
    </row>
    <row r="78" customFormat="false" ht="18" hidden="false" customHeight="true" outlineLevel="0" collapsed="false">
      <c r="A78" s="403" t="s">
        <v>265</v>
      </c>
      <c r="B78" s="404" t="s">
        <v>1973</v>
      </c>
      <c r="C78" s="405"/>
      <c r="D78" s="405"/>
      <c r="E78" s="405"/>
      <c r="F78" s="405"/>
      <c r="G78" s="405"/>
      <c r="H78" s="405"/>
      <c r="I78" s="405"/>
    </row>
    <row r="79" customFormat="false" ht="18" hidden="false" customHeight="true" outlineLevel="0" collapsed="false">
      <c r="A79" s="400" t="s">
        <v>1948</v>
      </c>
      <c r="B79" s="401" t="s">
        <v>1939</v>
      </c>
      <c r="C79" s="402"/>
      <c r="D79" s="402"/>
      <c r="E79" s="402"/>
      <c r="F79" s="402"/>
      <c r="G79" s="402"/>
      <c r="H79" s="402"/>
      <c r="I79" s="402"/>
    </row>
    <row r="80" customFormat="false" ht="18" hidden="false" customHeight="true" outlineLevel="0" collapsed="false">
      <c r="A80" s="403" t="s">
        <v>1953</v>
      </c>
      <c r="B80" s="404" t="s">
        <v>1974</v>
      </c>
      <c r="C80" s="405"/>
      <c r="D80" s="405"/>
      <c r="E80" s="405"/>
      <c r="F80" s="405"/>
      <c r="G80" s="405"/>
      <c r="H80" s="405"/>
      <c r="I80" s="405"/>
    </row>
    <row r="81" customFormat="false" ht="18" hidden="false" customHeight="true" outlineLevel="0" collapsed="false">
      <c r="A81" s="400" t="s">
        <v>267</v>
      </c>
      <c r="B81" s="401" t="s">
        <v>1950</v>
      </c>
      <c r="C81" s="402"/>
      <c r="D81" s="402"/>
      <c r="E81" s="402"/>
      <c r="F81" s="402"/>
      <c r="G81" s="402"/>
      <c r="H81" s="402"/>
      <c r="I81" s="402"/>
    </row>
    <row r="82" customFormat="false" ht="18" hidden="false" customHeight="true" outlineLevel="0" collapsed="false">
      <c r="A82" s="403" t="s">
        <v>1951</v>
      </c>
      <c r="B82" s="404" t="s">
        <v>1975</v>
      </c>
      <c r="C82" s="405"/>
      <c r="D82" s="405"/>
      <c r="E82" s="405"/>
      <c r="F82" s="405"/>
      <c r="G82" s="405"/>
      <c r="H82" s="405"/>
      <c r="I82" s="405"/>
    </row>
    <row r="83" customFormat="false" ht="18" hidden="false" customHeight="true" outlineLevel="0" collapsed="false">
      <c r="A83" s="400" t="s">
        <v>1955</v>
      </c>
      <c r="B83" s="407" t="s">
        <v>166</v>
      </c>
      <c r="C83" s="402"/>
      <c r="D83" s="402"/>
      <c r="E83" s="402"/>
      <c r="F83" s="402"/>
      <c r="G83" s="402"/>
      <c r="H83" s="402"/>
      <c r="I83" s="402"/>
    </row>
    <row r="84" customFormat="false" ht="18" hidden="false" customHeight="true" outlineLevel="0" collapsed="false">
      <c r="A84" s="403" t="s">
        <v>1956</v>
      </c>
      <c r="B84" s="404" t="s">
        <v>1957</v>
      </c>
      <c r="C84" s="404" t="s">
        <v>1958</v>
      </c>
      <c r="D84" s="405"/>
      <c r="E84" s="405"/>
      <c r="F84" s="405"/>
      <c r="G84" s="405"/>
      <c r="H84" s="405"/>
      <c r="I84" s="405"/>
    </row>
    <row r="85" customFormat="false" ht="15.75" hidden="false" customHeight="true" outlineLevel="0" collapsed="false">
      <c r="A85" s="408" t="s">
        <v>1976</v>
      </c>
      <c r="B85" s="408"/>
      <c r="C85" s="408"/>
      <c r="D85" s="408"/>
      <c r="E85" s="408"/>
      <c r="F85" s="408"/>
      <c r="G85" s="408"/>
      <c r="H85" s="408"/>
      <c r="I85" s="408"/>
    </row>
    <row r="88" customFormat="false" ht="25.5" hidden="false" customHeight="true" outlineLevel="0" collapsed="false">
      <c r="A88" s="396" t="s">
        <v>1977</v>
      </c>
      <c r="B88" s="396"/>
      <c r="C88" s="396"/>
      <c r="D88" s="396"/>
      <c r="E88" s="396"/>
      <c r="F88" s="396"/>
      <c r="G88" s="396"/>
      <c r="H88" s="396"/>
      <c r="I88" s="396"/>
    </row>
    <row r="89" customFormat="false" ht="3.75" hidden="false" customHeight="true" outlineLevel="0" collapsed="false">
      <c r="A89" s="397"/>
      <c r="B89" s="397"/>
      <c r="C89" s="397"/>
      <c r="D89" s="397"/>
      <c r="E89" s="397"/>
      <c r="F89" s="397"/>
      <c r="G89" s="397"/>
      <c r="H89" s="397"/>
      <c r="I89" s="397"/>
    </row>
    <row r="90" customFormat="false" ht="18" hidden="false" customHeight="true" outlineLevel="0" collapsed="false">
      <c r="A90" s="398" t="s">
        <v>1978</v>
      </c>
      <c r="B90" s="398"/>
      <c r="C90" s="398"/>
      <c r="D90" s="398"/>
      <c r="E90" s="398"/>
      <c r="F90" s="398"/>
      <c r="G90" s="398"/>
      <c r="H90" s="398"/>
      <c r="I90" s="398"/>
    </row>
    <row r="91" customFormat="false" ht="30" hidden="false" customHeight="true" outlineLevel="0" collapsed="false">
      <c r="A91" s="399" t="s">
        <v>1979</v>
      </c>
      <c r="B91" s="399" t="s">
        <v>1980</v>
      </c>
      <c r="C91" s="399" t="s">
        <v>1981</v>
      </c>
      <c r="D91" s="399" t="s">
        <v>1982</v>
      </c>
      <c r="E91" s="399" t="s">
        <v>1983</v>
      </c>
      <c r="F91" s="399" t="s">
        <v>1984</v>
      </c>
      <c r="G91" s="399" t="s">
        <v>7</v>
      </c>
      <c r="H91" s="399"/>
      <c r="I91" s="399"/>
    </row>
    <row r="92" customFormat="false" ht="18" hidden="false" customHeight="true" outlineLevel="0" collapsed="false">
      <c r="A92" s="400" t="s">
        <v>1985</v>
      </c>
      <c r="B92" s="410" t="s">
        <v>1986</v>
      </c>
      <c r="C92" s="401" t="s">
        <v>1987</v>
      </c>
      <c r="D92" s="401" t="s">
        <v>1988</v>
      </c>
      <c r="E92" s="401" t="s">
        <v>1989</v>
      </c>
      <c r="F92" s="401" t="s">
        <v>1990</v>
      </c>
      <c r="G92" s="402"/>
      <c r="H92" s="402"/>
      <c r="I92" s="402"/>
    </row>
    <row r="93" customFormat="false" ht="18" hidden="false" customHeight="true" outlineLevel="0" collapsed="false">
      <c r="A93" s="403" t="s">
        <v>1991</v>
      </c>
      <c r="B93" s="411" t="s">
        <v>1992</v>
      </c>
      <c r="C93" s="404" t="s">
        <v>1993</v>
      </c>
      <c r="D93" s="404" t="s">
        <v>1994</v>
      </c>
      <c r="E93" s="404" t="s">
        <v>1989</v>
      </c>
      <c r="F93" s="404" t="s">
        <v>1990</v>
      </c>
      <c r="G93" s="405"/>
      <c r="H93" s="405"/>
      <c r="I93" s="405"/>
    </row>
    <row r="94" customFormat="false" ht="18" hidden="false" customHeight="true" outlineLevel="0" collapsed="false">
      <c r="A94" s="400" t="s">
        <v>1995</v>
      </c>
      <c r="B94" s="410" t="s">
        <v>1996</v>
      </c>
      <c r="C94" s="401" t="s">
        <v>1997</v>
      </c>
      <c r="D94" s="401" t="s">
        <v>1998</v>
      </c>
      <c r="E94" s="401" t="s">
        <v>1989</v>
      </c>
      <c r="F94" s="401" t="s">
        <v>1990</v>
      </c>
      <c r="G94" s="402"/>
      <c r="H94" s="402"/>
      <c r="I94" s="402"/>
    </row>
    <row r="95" customFormat="false" ht="18" hidden="false" customHeight="true" outlineLevel="0" collapsed="false">
      <c r="A95" s="403" t="s">
        <v>1999</v>
      </c>
      <c r="B95" s="411" t="s">
        <v>2000</v>
      </c>
      <c r="C95" s="404" t="s">
        <v>2001</v>
      </c>
      <c r="D95" s="404" t="s">
        <v>2002</v>
      </c>
      <c r="E95" s="404" t="s">
        <v>1989</v>
      </c>
      <c r="F95" s="404" t="s">
        <v>1990</v>
      </c>
      <c r="G95" s="405"/>
      <c r="H95" s="405"/>
      <c r="I95" s="405"/>
    </row>
    <row r="96" customFormat="false" ht="18" hidden="false" customHeight="true" outlineLevel="0" collapsed="false">
      <c r="A96" s="400" t="s">
        <v>2003</v>
      </c>
      <c r="B96" s="410" t="s">
        <v>2004</v>
      </c>
      <c r="C96" s="401" t="s">
        <v>2005</v>
      </c>
      <c r="D96" s="401" t="s">
        <v>2006</v>
      </c>
      <c r="E96" s="401" t="s">
        <v>1989</v>
      </c>
      <c r="F96" s="401" t="s">
        <v>1990</v>
      </c>
      <c r="G96" s="402"/>
      <c r="H96" s="402"/>
      <c r="I96" s="402"/>
    </row>
    <row r="97" customFormat="false" ht="18" hidden="false" customHeight="true" outlineLevel="0" collapsed="false">
      <c r="A97" s="403" t="s">
        <v>2007</v>
      </c>
      <c r="B97" s="411" t="s">
        <v>2008</v>
      </c>
      <c r="C97" s="404" t="s">
        <v>2009</v>
      </c>
      <c r="D97" s="404" t="s">
        <v>2010</v>
      </c>
      <c r="E97" s="404" t="s">
        <v>1989</v>
      </c>
      <c r="F97" s="404" t="s">
        <v>1990</v>
      </c>
      <c r="G97" s="405"/>
      <c r="H97" s="405"/>
      <c r="I97" s="405"/>
    </row>
    <row r="98" customFormat="false" ht="18" hidden="false" customHeight="true" outlineLevel="0" collapsed="false">
      <c r="A98" s="400" t="s">
        <v>2011</v>
      </c>
      <c r="B98" s="410" t="s">
        <v>2012</v>
      </c>
      <c r="C98" s="401" t="s">
        <v>2013</v>
      </c>
      <c r="D98" s="401" t="s">
        <v>2014</v>
      </c>
      <c r="E98" s="401" t="s">
        <v>1989</v>
      </c>
      <c r="F98" s="401" t="s">
        <v>184</v>
      </c>
      <c r="G98" s="401" t="s">
        <v>2015</v>
      </c>
      <c r="H98" s="402"/>
      <c r="I98" s="402"/>
    </row>
    <row r="100" customFormat="false" ht="18" hidden="false" customHeight="true" outlineLevel="0" collapsed="false">
      <c r="A100" s="406" t="s">
        <v>2016</v>
      </c>
      <c r="B100" s="406"/>
      <c r="C100" s="406"/>
      <c r="D100" s="406"/>
      <c r="E100" s="406"/>
      <c r="F100" s="406"/>
      <c r="G100" s="406"/>
      <c r="H100" s="406"/>
      <c r="I100" s="406"/>
    </row>
    <row r="101" customFormat="false" ht="30" hidden="false" customHeight="true" outlineLevel="0" collapsed="false">
      <c r="A101" s="399" t="s">
        <v>2017</v>
      </c>
      <c r="B101" s="399" t="s">
        <v>2018</v>
      </c>
      <c r="C101" s="399" t="s">
        <v>2019</v>
      </c>
      <c r="D101" s="399" t="s">
        <v>2020</v>
      </c>
      <c r="E101" s="399" t="s">
        <v>2021</v>
      </c>
      <c r="F101" s="399" t="s">
        <v>2022</v>
      </c>
      <c r="G101" s="399" t="s">
        <v>2023</v>
      </c>
      <c r="H101" s="399"/>
      <c r="I101" s="399"/>
    </row>
    <row r="102" customFormat="false" ht="18" hidden="false" customHeight="true" outlineLevel="0" collapsed="false">
      <c r="A102" s="412" t="s">
        <v>2024</v>
      </c>
      <c r="B102" s="401" t="s">
        <v>2025</v>
      </c>
      <c r="C102" s="401" t="s">
        <v>2025</v>
      </c>
      <c r="D102" s="401" t="s">
        <v>2025</v>
      </c>
      <c r="E102" s="401" t="s">
        <v>2025</v>
      </c>
      <c r="F102" s="401" t="s">
        <v>2025</v>
      </c>
      <c r="G102" s="401" t="s">
        <v>2025</v>
      </c>
      <c r="H102" s="402"/>
      <c r="I102" s="402"/>
    </row>
    <row r="103" customFormat="false" ht="18" hidden="false" customHeight="true" outlineLevel="0" collapsed="false">
      <c r="A103" s="413" t="s">
        <v>2026</v>
      </c>
      <c r="B103" s="404" t="s">
        <v>2025</v>
      </c>
      <c r="C103" s="404" t="s">
        <v>2025</v>
      </c>
      <c r="D103" s="404" t="s">
        <v>2025</v>
      </c>
      <c r="E103" s="404" t="s">
        <v>2025</v>
      </c>
      <c r="F103" s="404" t="s">
        <v>2025</v>
      </c>
      <c r="G103" s="404" t="s">
        <v>2025</v>
      </c>
      <c r="H103" s="405"/>
      <c r="I103" s="405"/>
    </row>
    <row r="104" customFormat="false" ht="18" hidden="false" customHeight="true" outlineLevel="0" collapsed="false">
      <c r="A104" s="412" t="s">
        <v>2027</v>
      </c>
      <c r="B104" s="401" t="s">
        <v>2025</v>
      </c>
      <c r="C104" s="401" t="s">
        <v>2025</v>
      </c>
      <c r="D104" s="401" t="s">
        <v>2025</v>
      </c>
      <c r="E104" s="401" t="s">
        <v>2025</v>
      </c>
      <c r="F104" s="401" t="s">
        <v>2025</v>
      </c>
      <c r="G104" s="401" t="s">
        <v>2025</v>
      </c>
      <c r="H104" s="402"/>
      <c r="I104" s="402"/>
    </row>
    <row r="105" customFormat="false" ht="18" hidden="false" customHeight="true" outlineLevel="0" collapsed="false">
      <c r="A105" s="413" t="s">
        <v>2028</v>
      </c>
      <c r="B105" s="404" t="s">
        <v>2025</v>
      </c>
      <c r="C105" s="404" t="s">
        <v>2025</v>
      </c>
      <c r="D105" s="404" t="s">
        <v>2025</v>
      </c>
      <c r="E105" s="404" t="s">
        <v>2025</v>
      </c>
      <c r="F105" s="404" t="s">
        <v>2025</v>
      </c>
      <c r="G105" s="404" t="s">
        <v>2025</v>
      </c>
      <c r="H105" s="405"/>
      <c r="I105" s="405"/>
    </row>
    <row r="106" customFormat="false" ht="18" hidden="false" customHeight="true" outlineLevel="0" collapsed="false">
      <c r="A106" s="412" t="s">
        <v>2029</v>
      </c>
      <c r="B106" s="401" t="s">
        <v>2025</v>
      </c>
      <c r="C106" s="401" t="s">
        <v>2025</v>
      </c>
      <c r="D106" s="401" t="s">
        <v>2025</v>
      </c>
      <c r="E106" s="401" t="s">
        <v>2025</v>
      </c>
      <c r="F106" s="401" t="s">
        <v>2025</v>
      </c>
      <c r="G106" s="401" t="s">
        <v>2025</v>
      </c>
      <c r="H106" s="402"/>
      <c r="I106" s="402"/>
    </row>
    <row r="107" customFormat="false" ht="18" hidden="false" customHeight="true" outlineLevel="0" collapsed="false">
      <c r="A107" s="413" t="s">
        <v>2030</v>
      </c>
      <c r="B107" s="404" t="s">
        <v>2025</v>
      </c>
      <c r="C107" s="404" t="s">
        <v>2025</v>
      </c>
      <c r="D107" s="404" t="s">
        <v>2025</v>
      </c>
      <c r="E107" s="404" t="s">
        <v>2025</v>
      </c>
      <c r="F107" s="404" t="s">
        <v>2025</v>
      </c>
      <c r="G107" s="404" t="s">
        <v>2025</v>
      </c>
      <c r="H107" s="405"/>
      <c r="I107" s="405"/>
    </row>
    <row r="108" customFormat="false" ht="18" hidden="false" customHeight="true" outlineLevel="0" collapsed="false">
      <c r="A108" s="412" t="s">
        <v>2031</v>
      </c>
      <c r="B108" s="401" t="s">
        <v>2025</v>
      </c>
      <c r="C108" s="401" t="s">
        <v>2025</v>
      </c>
      <c r="D108" s="401" t="s">
        <v>2025</v>
      </c>
      <c r="E108" s="401" t="s">
        <v>2025</v>
      </c>
      <c r="F108" s="401" t="s">
        <v>2025</v>
      </c>
      <c r="G108" s="401" t="s">
        <v>2025</v>
      </c>
      <c r="H108" s="402"/>
      <c r="I108" s="402"/>
    </row>
    <row r="111" customFormat="false" ht="25.5" hidden="false" customHeight="true" outlineLevel="0" collapsed="false">
      <c r="A111" s="396" t="s">
        <v>2032</v>
      </c>
      <c r="B111" s="396"/>
      <c r="C111" s="396"/>
      <c r="D111" s="396"/>
      <c r="E111" s="396"/>
      <c r="F111" s="396"/>
      <c r="G111" s="396"/>
      <c r="H111" s="396"/>
      <c r="I111" s="396"/>
    </row>
    <row r="112" customFormat="false" ht="3.75" hidden="false" customHeight="true" outlineLevel="0" collapsed="false">
      <c r="A112" s="397"/>
      <c r="B112" s="397"/>
      <c r="C112" s="397"/>
      <c r="D112" s="397"/>
      <c r="E112" s="397"/>
      <c r="F112" s="397"/>
      <c r="G112" s="397"/>
      <c r="H112" s="397"/>
      <c r="I112" s="397"/>
    </row>
    <row r="113" customFormat="false" ht="18" hidden="false" customHeight="true" outlineLevel="0" collapsed="false">
      <c r="A113" s="406" t="s">
        <v>2033</v>
      </c>
      <c r="B113" s="406"/>
      <c r="C113" s="406"/>
      <c r="D113" s="406"/>
      <c r="E113" s="406"/>
      <c r="F113" s="406"/>
      <c r="G113" s="406"/>
      <c r="H113" s="406"/>
      <c r="I113" s="406"/>
    </row>
    <row r="114" customFormat="false" ht="30" hidden="false" customHeight="true" outlineLevel="0" collapsed="false">
      <c r="A114" s="399" t="s">
        <v>2034</v>
      </c>
      <c r="B114" s="399" t="s">
        <v>1739</v>
      </c>
      <c r="C114" s="399" t="s">
        <v>2035</v>
      </c>
      <c r="D114" s="399" t="s">
        <v>2036</v>
      </c>
      <c r="E114" s="399" t="s">
        <v>2037</v>
      </c>
      <c r="F114" s="399" t="s">
        <v>2038</v>
      </c>
      <c r="G114" s="399" t="s">
        <v>81</v>
      </c>
      <c r="H114" s="399" t="s">
        <v>2039</v>
      </c>
      <c r="I114" s="399"/>
    </row>
    <row r="115" customFormat="false" ht="13.5" hidden="false" customHeight="true" outlineLevel="0" collapsed="false">
      <c r="A115" s="414" t="s">
        <v>2040</v>
      </c>
      <c r="B115" s="414"/>
      <c r="C115" s="414"/>
      <c r="D115" s="414"/>
      <c r="E115" s="414"/>
      <c r="F115" s="414"/>
      <c r="G115" s="414"/>
      <c r="H115" s="414"/>
      <c r="I115" s="414"/>
    </row>
    <row r="116" customFormat="false" ht="18" hidden="false" customHeight="true" outlineLevel="0" collapsed="false">
      <c r="A116" s="412" t="s">
        <v>2041</v>
      </c>
      <c r="B116" s="401" t="s">
        <v>2042</v>
      </c>
      <c r="C116" s="401" t="s">
        <v>2043</v>
      </c>
      <c r="D116" s="401" t="s">
        <v>2044</v>
      </c>
      <c r="E116" s="401" t="s">
        <v>2045</v>
      </c>
      <c r="F116" s="401" t="s">
        <v>2046</v>
      </c>
      <c r="G116" s="401" t="s">
        <v>2047</v>
      </c>
      <c r="H116" s="401" t="s">
        <v>2048</v>
      </c>
      <c r="I116" s="402"/>
    </row>
    <row r="117" customFormat="false" ht="18" hidden="false" customHeight="true" outlineLevel="0" collapsed="false">
      <c r="A117" s="413" t="s">
        <v>2041</v>
      </c>
      <c r="B117" s="404" t="s">
        <v>2042</v>
      </c>
      <c r="C117" s="404" t="s">
        <v>2043</v>
      </c>
      <c r="D117" s="404" t="s">
        <v>2044</v>
      </c>
      <c r="E117" s="404" t="s">
        <v>2049</v>
      </c>
      <c r="F117" s="404" t="s">
        <v>2046</v>
      </c>
      <c r="G117" s="404" t="s">
        <v>2050</v>
      </c>
      <c r="H117" s="404" t="s">
        <v>2048</v>
      </c>
      <c r="I117" s="405"/>
    </row>
    <row r="118" customFormat="false" ht="18" hidden="false" customHeight="true" outlineLevel="0" collapsed="false">
      <c r="A118" s="412" t="s">
        <v>2041</v>
      </c>
      <c r="B118" s="401" t="s">
        <v>2042</v>
      </c>
      <c r="C118" s="401" t="s">
        <v>2051</v>
      </c>
      <c r="D118" s="401" t="s">
        <v>2044</v>
      </c>
      <c r="E118" s="401" t="s">
        <v>2045</v>
      </c>
      <c r="F118" s="401" t="s">
        <v>2046</v>
      </c>
      <c r="G118" s="401" t="s">
        <v>2052</v>
      </c>
      <c r="H118" s="401" t="s">
        <v>2048</v>
      </c>
      <c r="I118" s="402"/>
    </row>
    <row r="119" customFormat="false" ht="18" hidden="false" customHeight="true" outlineLevel="0" collapsed="false">
      <c r="A119" s="413" t="s">
        <v>2041</v>
      </c>
      <c r="B119" s="404" t="s">
        <v>2042</v>
      </c>
      <c r="C119" s="404" t="s">
        <v>2051</v>
      </c>
      <c r="D119" s="404" t="s">
        <v>2044</v>
      </c>
      <c r="E119" s="404" t="s">
        <v>2049</v>
      </c>
      <c r="F119" s="404" t="s">
        <v>2046</v>
      </c>
      <c r="G119" s="404" t="s">
        <v>2053</v>
      </c>
      <c r="H119" s="404" t="s">
        <v>2048</v>
      </c>
      <c r="I119" s="405"/>
    </row>
    <row r="120" customFormat="false" ht="18" hidden="false" customHeight="true" outlineLevel="0" collapsed="false">
      <c r="A120" s="412" t="s">
        <v>2041</v>
      </c>
      <c r="B120" s="401" t="s">
        <v>2042</v>
      </c>
      <c r="C120" s="401" t="s">
        <v>2051</v>
      </c>
      <c r="D120" s="401" t="s">
        <v>2044</v>
      </c>
      <c r="E120" s="401" t="s">
        <v>2054</v>
      </c>
      <c r="F120" s="401" t="s">
        <v>2046</v>
      </c>
      <c r="G120" s="401" t="s">
        <v>2055</v>
      </c>
      <c r="H120" s="401" t="s">
        <v>2048</v>
      </c>
      <c r="I120" s="402"/>
    </row>
    <row r="121" customFormat="false" ht="13.5" hidden="false" customHeight="true" outlineLevel="0" collapsed="false">
      <c r="A121" s="414" t="s">
        <v>2056</v>
      </c>
      <c r="B121" s="414"/>
      <c r="C121" s="414"/>
      <c r="D121" s="414"/>
      <c r="E121" s="414"/>
      <c r="F121" s="414"/>
      <c r="G121" s="414"/>
      <c r="H121" s="414"/>
      <c r="I121" s="414"/>
    </row>
    <row r="122" customFormat="false" ht="18" hidden="false" customHeight="true" outlineLevel="0" collapsed="false">
      <c r="A122" s="412" t="s">
        <v>2041</v>
      </c>
      <c r="B122" s="401" t="s">
        <v>2057</v>
      </c>
      <c r="C122" s="401" t="s">
        <v>2058</v>
      </c>
      <c r="D122" s="401" t="s">
        <v>2044</v>
      </c>
      <c r="E122" s="401" t="s">
        <v>2059</v>
      </c>
      <c r="F122" s="401" t="s">
        <v>2046</v>
      </c>
      <c r="G122" s="401" t="s">
        <v>2060</v>
      </c>
      <c r="H122" s="401" t="s">
        <v>2048</v>
      </c>
      <c r="I122" s="401" t="s">
        <v>2061</v>
      </c>
    </row>
    <row r="123" customFormat="false" ht="18" hidden="false" customHeight="true" outlineLevel="0" collapsed="false">
      <c r="A123" s="413" t="s">
        <v>2041</v>
      </c>
      <c r="B123" s="404" t="s">
        <v>2057</v>
      </c>
      <c r="C123" s="404" t="s">
        <v>2062</v>
      </c>
      <c r="D123" s="404" t="s">
        <v>2044</v>
      </c>
      <c r="E123" s="404" t="s">
        <v>2063</v>
      </c>
      <c r="F123" s="404" t="s">
        <v>2046</v>
      </c>
      <c r="G123" s="404" t="s">
        <v>2060</v>
      </c>
      <c r="H123" s="404" t="s">
        <v>2048</v>
      </c>
      <c r="I123" s="404" t="s">
        <v>2061</v>
      </c>
    </row>
    <row r="124" customFormat="false" ht="18" hidden="false" customHeight="true" outlineLevel="0" collapsed="false">
      <c r="A124" s="412" t="s">
        <v>2041</v>
      </c>
      <c r="B124" s="401" t="s">
        <v>2057</v>
      </c>
      <c r="C124" s="401" t="s">
        <v>2064</v>
      </c>
      <c r="D124" s="401" t="s">
        <v>2044</v>
      </c>
      <c r="E124" s="401" t="s">
        <v>2065</v>
      </c>
      <c r="F124" s="401" t="s">
        <v>2046</v>
      </c>
      <c r="G124" s="401" t="s">
        <v>2066</v>
      </c>
      <c r="H124" s="401" t="s">
        <v>2048</v>
      </c>
      <c r="I124" s="401" t="s">
        <v>2061</v>
      </c>
    </row>
    <row r="125" customFormat="false" ht="18" hidden="false" customHeight="true" outlineLevel="0" collapsed="false">
      <c r="A125" s="413" t="s">
        <v>2041</v>
      </c>
      <c r="B125" s="404" t="s">
        <v>2057</v>
      </c>
      <c r="C125" s="404" t="s">
        <v>2067</v>
      </c>
      <c r="D125" s="404" t="s">
        <v>2044</v>
      </c>
      <c r="E125" s="404" t="s">
        <v>2068</v>
      </c>
      <c r="F125" s="404" t="s">
        <v>2046</v>
      </c>
      <c r="G125" s="404" t="s">
        <v>2069</v>
      </c>
      <c r="H125" s="404" t="s">
        <v>2048</v>
      </c>
      <c r="I125" s="404" t="s">
        <v>2061</v>
      </c>
    </row>
    <row r="126" customFormat="false" ht="18" hidden="false" customHeight="true" outlineLevel="0" collapsed="false">
      <c r="A126" s="412" t="s">
        <v>2041</v>
      </c>
      <c r="B126" s="401" t="s">
        <v>2057</v>
      </c>
      <c r="C126" s="401" t="s">
        <v>2070</v>
      </c>
      <c r="D126" s="401" t="s">
        <v>2044</v>
      </c>
      <c r="E126" s="401" t="s">
        <v>2068</v>
      </c>
      <c r="F126" s="401" t="s">
        <v>2046</v>
      </c>
      <c r="G126" s="401" t="s">
        <v>2050</v>
      </c>
      <c r="H126" s="401" t="s">
        <v>2048</v>
      </c>
      <c r="I126" s="401" t="s">
        <v>2061</v>
      </c>
    </row>
    <row r="127" customFormat="false" ht="13.5" hidden="false" customHeight="true" outlineLevel="0" collapsed="false">
      <c r="A127" s="414" t="s">
        <v>2071</v>
      </c>
      <c r="B127" s="414"/>
      <c r="C127" s="414"/>
      <c r="D127" s="414"/>
      <c r="E127" s="414"/>
      <c r="F127" s="414"/>
      <c r="G127" s="414"/>
      <c r="H127" s="414"/>
      <c r="I127" s="414"/>
    </row>
    <row r="128" customFormat="false" ht="18" hidden="false" customHeight="true" outlineLevel="0" collapsed="false">
      <c r="A128" s="413" t="s">
        <v>1975</v>
      </c>
      <c r="B128" s="404" t="s">
        <v>2072</v>
      </c>
      <c r="C128" s="404" t="s">
        <v>2046</v>
      </c>
      <c r="D128" s="404" t="s">
        <v>184</v>
      </c>
      <c r="E128" s="404" t="s">
        <v>2073</v>
      </c>
      <c r="F128" s="404" t="s">
        <v>2046</v>
      </c>
      <c r="G128" s="404" t="s">
        <v>2074</v>
      </c>
      <c r="H128" s="404" t="s">
        <v>2048</v>
      </c>
      <c r="I128" s="404" t="s">
        <v>2075</v>
      </c>
    </row>
    <row r="130" customFormat="false" ht="18" hidden="false" customHeight="true" outlineLevel="0" collapsed="false">
      <c r="A130" s="406" t="s">
        <v>2076</v>
      </c>
      <c r="B130" s="406"/>
      <c r="C130" s="406"/>
      <c r="D130" s="406"/>
      <c r="E130" s="406"/>
      <c r="F130" s="406"/>
      <c r="G130" s="406"/>
      <c r="H130" s="406"/>
      <c r="I130" s="406"/>
    </row>
    <row r="131" customFormat="false" ht="30" hidden="false" customHeight="true" outlineLevel="0" collapsed="false">
      <c r="A131" s="399" t="s">
        <v>1701</v>
      </c>
      <c r="B131" s="399" t="s">
        <v>534</v>
      </c>
      <c r="C131" s="399" t="s">
        <v>2034</v>
      </c>
      <c r="D131" s="399" t="s">
        <v>2077</v>
      </c>
      <c r="E131" s="399" t="s">
        <v>2039</v>
      </c>
      <c r="F131" s="399"/>
      <c r="G131" s="399"/>
      <c r="H131" s="399"/>
      <c r="I131" s="399"/>
    </row>
    <row r="132" customFormat="false" ht="18" hidden="false" customHeight="true" outlineLevel="0" collapsed="false">
      <c r="A132" s="400" t="s">
        <v>2078</v>
      </c>
      <c r="B132" s="401" t="s">
        <v>2079</v>
      </c>
      <c r="C132" s="401" t="s">
        <v>2080</v>
      </c>
      <c r="D132" s="401" t="s">
        <v>2081</v>
      </c>
      <c r="E132" s="401" t="s">
        <v>2048</v>
      </c>
      <c r="F132" s="402"/>
      <c r="G132" s="402"/>
      <c r="H132" s="402"/>
      <c r="I132" s="402"/>
    </row>
    <row r="133" customFormat="false" ht="18" hidden="false" customHeight="true" outlineLevel="0" collapsed="false">
      <c r="A133" s="403" t="s">
        <v>2082</v>
      </c>
      <c r="B133" s="404" t="s">
        <v>2083</v>
      </c>
      <c r="C133" s="404" t="s">
        <v>2084</v>
      </c>
      <c r="D133" s="404" t="s">
        <v>2085</v>
      </c>
      <c r="E133" s="404" t="s">
        <v>2048</v>
      </c>
      <c r="F133" s="405"/>
      <c r="G133" s="405"/>
      <c r="H133" s="405"/>
      <c r="I133" s="405"/>
    </row>
    <row r="134" customFormat="false" ht="18" hidden="false" customHeight="true" outlineLevel="0" collapsed="false">
      <c r="A134" s="400" t="s">
        <v>2086</v>
      </c>
      <c r="B134" s="401" t="s">
        <v>2087</v>
      </c>
      <c r="C134" s="401" t="s">
        <v>2088</v>
      </c>
      <c r="D134" s="401" t="s">
        <v>2089</v>
      </c>
      <c r="E134" s="401" t="s">
        <v>2048</v>
      </c>
      <c r="F134" s="402"/>
      <c r="G134" s="402"/>
      <c r="H134" s="402"/>
      <c r="I134" s="402"/>
    </row>
    <row r="136" customFormat="false" ht="18" hidden="false" customHeight="true" outlineLevel="0" collapsed="false">
      <c r="A136" s="406" t="s">
        <v>2090</v>
      </c>
      <c r="B136" s="406"/>
      <c r="C136" s="406"/>
      <c r="D136" s="406"/>
      <c r="E136" s="406"/>
      <c r="F136" s="406"/>
      <c r="G136" s="406"/>
      <c r="H136" s="406"/>
      <c r="I136" s="406"/>
    </row>
    <row r="137" customFormat="false" ht="30" hidden="false" customHeight="true" outlineLevel="0" collapsed="false">
      <c r="A137" s="399" t="s">
        <v>2091</v>
      </c>
      <c r="B137" s="399" t="s">
        <v>534</v>
      </c>
      <c r="C137" s="399" t="s">
        <v>2092</v>
      </c>
      <c r="D137" s="399"/>
      <c r="E137" s="399"/>
      <c r="F137" s="399"/>
      <c r="G137" s="399"/>
      <c r="H137" s="399"/>
      <c r="I137" s="399"/>
    </row>
    <row r="138" customFormat="false" ht="18" hidden="false" customHeight="true" outlineLevel="0" collapsed="false">
      <c r="A138" s="400" t="s">
        <v>2093</v>
      </c>
      <c r="B138" s="401" t="s">
        <v>2094</v>
      </c>
      <c r="C138" s="402"/>
      <c r="D138" s="402"/>
      <c r="E138" s="402"/>
      <c r="F138" s="402"/>
      <c r="G138" s="402"/>
      <c r="H138" s="402"/>
      <c r="I138" s="402"/>
    </row>
    <row r="139" customFormat="false" ht="18" hidden="false" customHeight="true" outlineLevel="0" collapsed="false">
      <c r="A139" s="403" t="s">
        <v>2095</v>
      </c>
      <c r="B139" s="404" t="s">
        <v>2096</v>
      </c>
      <c r="C139" s="405"/>
      <c r="D139" s="405"/>
      <c r="E139" s="405"/>
      <c r="F139" s="405"/>
      <c r="G139" s="405"/>
      <c r="H139" s="405"/>
      <c r="I139" s="405"/>
    </row>
    <row r="140" customFormat="false" ht="18" hidden="false" customHeight="true" outlineLevel="0" collapsed="false">
      <c r="A140" s="400" t="s">
        <v>2097</v>
      </c>
      <c r="B140" s="401" t="s">
        <v>2098</v>
      </c>
      <c r="C140" s="402"/>
      <c r="D140" s="402"/>
      <c r="E140" s="402"/>
      <c r="F140" s="402"/>
      <c r="G140" s="402"/>
      <c r="H140" s="402"/>
      <c r="I140" s="402"/>
    </row>
    <row r="141" customFormat="false" ht="18" hidden="false" customHeight="true" outlineLevel="0" collapsed="false">
      <c r="A141" s="403" t="s">
        <v>2099</v>
      </c>
      <c r="B141" s="404" t="s">
        <v>2100</v>
      </c>
      <c r="C141" s="405"/>
      <c r="D141" s="405"/>
      <c r="E141" s="405"/>
      <c r="F141" s="405"/>
      <c r="G141" s="405"/>
      <c r="H141" s="405"/>
      <c r="I141" s="405"/>
    </row>
    <row r="142" customFormat="false" ht="18" hidden="false" customHeight="true" outlineLevel="0" collapsed="false">
      <c r="A142" s="400" t="s">
        <v>2101</v>
      </c>
      <c r="B142" s="401" t="s">
        <v>2102</v>
      </c>
      <c r="C142" s="402"/>
      <c r="D142" s="402"/>
      <c r="E142" s="402"/>
      <c r="F142" s="402"/>
      <c r="G142" s="402"/>
      <c r="H142" s="402"/>
      <c r="I142" s="402"/>
    </row>
    <row r="145" customFormat="false" ht="25.5" hidden="false" customHeight="true" outlineLevel="0" collapsed="false">
      <c r="A145" s="396" t="s">
        <v>2103</v>
      </c>
      <c r="B145" s="396"/>
      <c r="C145" s="396"/>
      <c r="D145" s="396"/>
      <c r="E145" s="396"/>
      <c r="F145" s="396"/>
      <c r="G145" s="396"/>
      <c r="H145" s="396"/>
      <c r="I145" s="396"/>
    </row>
    <row r="146" customFormat="false" ht="3.75" hidden="false" customHeight="true" outlineLevel="0" collapsed="false">
      <c r="A146" s="397"/>
      <c r="B146" s="397"/>
      <c r="C146" s="397"/>
      <c r="D146" s="397"/>
      <c r="E146" s="397"/>
      <c r="F146" s="397"/>
      <c r="G146" s="397"/>
      <c r="H146" s="397"/>
      <c r="I146" s="397"/>
    </row>
    <row r="147" customFormat="false" ht="30" hidden="false" customHeight="true" outlineLevel="0" collapsed="false">
      <c r="A147" s="399" t="s">
        <v>263</v>
      </c>
      <c r="B147" s="399" t="s">
        <v>2018</v>
      </c>
      <c r="C147" s="399" t="s">
        <v>2019</v>
      </c>
      <c r="D147" s="399" t="s">
        <v>2020</v>
      </c>
      <c r="E147" s="399" t="s">
        <v>2021</v>
      </c>
      <c r="F147" s="399" t="s">
        <v>2022</v>
      </c>
      <c r="G147" s="399" t="s">
        <v>2023</v>
      </c>
      <c r="H147" s="399" t="s">
        <v>7</v>
      </c>
      <c r="I147" s="399"/>
    </row>
    <row r="148" customFormat="false" ht="18" hidden="false" customHeight="true" outlineLevel="0" collapsed="false">
      <c r="A148" s="400" t="s">
        <v>2104</v>
      </c>
      <c r="B148" s="401" t="s">
        <v>2025</v>
      </c>
      <c r="C148" s="401" t="s">
        <v>2025</v>
      </c>
      <c r="D148" s="401" t="s">
        <v>2025</v>
      </c>
      <c r="E148" s="401" t="s">
        <v>2025</v>
      </c>
      <c r="F148" s="402"/>
      <c r="G148" s="402"/>
      <c r="H148" s="402"/>
      <c r="I148" s="402"/>
    </row>
    <row r="149" customFormat="false" ht="18" hidden="false" customHeight="true" outlineLevel="0" collapsed="false">
      <c r="A149" s="403" t="s">
        <v>2105</v>
      </c>
      <c r="B149" s="404" t="s">
        <v>2025</v>
      </c>
      <c r="C149" s="404" t="s">
        <v>2025</v>
      </c>
      <c r="D149" s="404" t="s">
        <v>2025</v>
      </c>
      <c r="E149" s="404" t="s">
        <v>2025</v>
      </c>
      <c r="F149" s="405"/>
      <c r="G149" s="405"/>
      <c r="H149" s="405"/>
      <c r="I149" s="405"/>
    </row>
    <row r="150" customFormat="false" ht="18" hidden="false" customHeight="true" outlineLevel="0" collapsed="false">
      <c r="A150" s="400" t="s">
        <v>288</v>
      </c>
      <c r="B150" s="401" t="s">
        <v>2025</v>
      </c>
      <c r="C150" s="401" t="s">
        <v>2025</v>
      </c>
      <c r="D150" s="401" t="s">
        <v>2025</v>
      </c>
      <c r="E150" s="401" t="s">
        <v>2025</v>
      </c>
      <c r="F150" s="402"/>
      <c r="G150" s="402"/>
      <c r="H150" s="402"/>
      <c r="I150" s="402"/>
    </row>
    <row r="151" customFormat="false" ht="18" hidden="false" customHeight="true" outlineLevel="0" collapsed="false">
      <c r="A151" s="403" t="s">
        <v>2106</v>
      </c>
      <c r="B151" s="404" t="s">
        <v>2025</v>
      </c>
      <c r="C151" s="404" t="s">
        <v>2025</v>
      </c>
      <c r="D151" s="404" t="s">
        <v>2025</v>
      </c>
      <c r="E151" s="404" t="s">
        <v>2025</v>
      </c>
      <c r="F151" s="404" t="s">
        <v>2025</v>
      </c>
      <c r="G151" s="405"/>
      <c r="H151" s="405"/>
      <c r="I151" s="405"/>
    </row>
    <row r="152" customFormat="false" ht="18" hidden="false" customHeight="true" outlineLevel="0" collapsed="false">
      <c r="A152" s="400" t="s">
        <v>2107</v>
      </c>
      <c r="B152" s="402"/>
      <c r="C152" s="402"/>
      <c r="D152" s="402"/>
      <c r="E152" s="402"/>
      <c r="F152" s="402"/>
      <c r="G152" s="401" t="s">
        <v>2025</v>
      </c>
      <c r="H152" s="401" t="s">
        <v>2108</v>
      </c>
      <c r="I152" s="402"/>
    </row>
    <row r="153" customFormat="false" ht="18" hidden="false" customHeight="true" outlineLevel="0" collapsed="false">
      <c r="A153" s="403" t="s">
        <v>2109</v>
      </c>
      <c r="B153" s="405"/>
      <c r="C153" s="405"/>
      <c r="D153" s="405"/>
      <c r="E153" s="405"/>
      <c r="F153" s="404" t="s">
        <v>2025</v>
      </c>
      <c r="G153" s="405"/>
      <c r="H153" s="404" t="s">
        <v>2110</v>
      </c>
      <c r="I153" s="405"/>
    </row>
    <row r="154" customFormat="false" ht="18" hidden="false" customHeight="true" outlineLevel="0" collapsed="false">
      <c r="A154" s="400" t="s">
        <v>2111</v>
      </c>
      <c r="B154" s="402"/>
      <c r="C154" s="402"/>
      <c r="D154" s="402"/>
      <c r="E154" s="402"/>
      <c r="F154" s="401" t="s">
        <v>2025</v>
      </c>
      <c r="G154" s="402"/>
      <c r="H154" s="401" t="s">
        <v>2110</v>
      </c>
      <c r="I154" s="402"/>
    </row>
    <row r="155" customFormat="false" ht="18" hidden="false" customHeight="true" outlineLevel="0" collapsed="false">
      <c r="A155" s="403" t="s">
        <v>2112</v>
      </c>
      <c r="B155" s="404" t="s">
        <v>2025</v>
      </c>
      <c r="C155" s="404" t="s">
        <v>2025</v>
      </c>
      <c r="D155" s="404" t="s">
        <v>2025</v>
      </c>
      <c r="E155" s="404" t="s">
        <v>2025</v>
      </c>
      <c r="F155" s="404" t="s">
        <v>2025</v>
      </c>
      <c r="G155" s="404" t="s">
        <v>2025</v>
      </c>
      <c r="H155" s="404" t="s">
        <v>2113</v>
      </c>
      <c r="I155" s="405"/>
    </row>
    <row r="158" customFormat="false" ht="25.5" hidden="false" customHeight="true" outlineLevel="0" collapsed="false">
      <c r="A158" s="396" t="s">
        <v>2114</v>
      </c>
      <c r="B158" s="396"/>
      <c r="C158" s="396"/>
      <c r="D158" s="396"/>
      <c r="E158" s="396"/>
      <c r="F158" s="396"/>
      <c r="G158" s="396"/>
      <c r="H158" s="396"/>
      <c r="I158" s="396"/>
    </row>
    <row r="159" customFormat="false" ht="3.75" hidden="false" customHeight="true" outlineLevel="0" collapsed="false">
      <c r="A159" s="397"/>
      <c r="B159" s="397"/>
      <c r="C159" s="397"/>
      <c r="D159" s="397"/>
      <c r="E159" s="397"/>
      <c r="F159" s="397"/>
      <c r="G159" s="397"/>
      <c r="H159" s="397"/>
      <c r="I159" s="397"/>
    </row>
    <row r="160" customFormat="false" ht="30" hidden="false" customHeight="true" outlineLevel="0" collapsed="false">
      <c r="A160" s="399" t="s">
        <v>2115</v>
      </c>
      <c r="B160" s="399" t="s">
        <v>2116</v>
      </c>
      <c r="C160" s="399" t="s">
        <v>2117</v>
      </c>
      <c r="D160" s="399" t="s">
        <v>2118</v>
      </c>
      <c r="E160" s="399"/>
      <c r="F160" s="399"/>
      <c r="G160" s="399"/>
      <c r="H160" s="399"/>
      <c r="I160" s="399"/>
    </row>
    <row r="161" customFormat="false" ht="18" hidden="false" customHeight="true" outlineLevel="0" collapsed="false">
      <c r="A161" s="400" t="s">
        <v>2119</v>
      </c>
      <c r="B161" s="401" t="s">
        <v>2120</v>
      </c>
      <c r="C161" s="401" t="s">
        <v>172</v>
      </c>
      <c r="D161" s="402"/>
      <c r="E161" s="402"/>
      <c r="F161" s="402"/>
      <c r="G161" s="402"/>
      <c r="H161" s="402"/>
      <c r="I161" s="402"/>
    </row>
    <row r="162" customFormat="false" ht="18" hidden="false" customHeight="true" outlineLevel="0" collapsed="false">
      <c r="A162" s="403" t="s">
        <v>2121</v>
      </c>
      <c r="B162" s="404" t="s">
        <v>2120</v>
      </c>
      <c r="C162" s="404" t="s">
        <v>172</v>
      </c>
      <c r="D162" s="405"/>
      <c r="E162" s="405"/>
      <c r="F162" s="405"/>
      <c r="G162" s="405"/>
      <c r="H162" s="405"/>
      <c r="I162" s="405"/>
    </row>
    <row r="163" customFormat="false" ht="18" hidden="false" customHeight="true" outlineLevel="0" collapsed="false">
      <c r="A163" s="400" t="s">
        <v>2122</v>
      </c>
      <c r="B163" s="401" t="s">
        <v>2123</v>
      </c>
      <c r="C163" s="401" t="s">
        <v>172</v>
      </c>
      <c r="D163" s="402"/>
      <c r="E163" s="402"/>
      <c r="F163" s="402"/>
      <c r="G163" s="402"/>
      <c r="H163" s="402"/>
      <c r="I163" s="402"/>
    </row>
    <row r="164" customFormat="false" ht="18" hidden="false" customHeight="true" outlineLevel="0" collapsed="false">
      <c r="A164" s="403" t="s">
        <v>2124</v>
      </c>
      <c r="B164" s="404" t="s">
        <v>2125</v>
      </c>
      <c r="C164" s="404" t="s">
        <v>172</v>
      </c>
      <c r="D164" s="405"/>
      <c r="E164" s="405"/>
      <c r="F164" s="405"/>
      <c r="G164" s="405"/>
      <c r="H164" s="405"/>
      <c r="I164" s="405"/>
    </row>
    <row r="165" customFormat="false" ht="18" hidden="false" customHeight="true" outlineLevel="0" collapsed="false">
      <c r="A165" s="400" t="s">
        <v>2126</v>
      </c>
      <c r="B165" s="401" t="s">
        <v>2127</v>
      </c>
      <c r="C165" s="401" t="s">
        <v>172</v>
      </c>
      <c r="D165" s="401" t="s">
        <v>2128</v>
      </c>
      <c r="E165" s="402"/>
      <c r="F165" s="402"/>
      <c r="G165" s="402"/>
      <c r="H165" s="402"/>
      <c r="I165" s="402"/>
    </row>
    <row r="166" customFormat="false" ht="18" hidden="false" customHeight="true" outlineLevel="0" collapsed="false">
      <c r="A166" s="403" t="s">
        <v>2129</v>
      </c>
      <c r="B166" s="404" t="s">
        <v>2127</v>
      </c>
      <c r="C166" s="404" t="s">
        <v>2130</v>
      </c>
      <c r="D166" s="404" t="s">
        <v>2131</v>
      </c>
      <c r="E166" s="405"/>
      <c r="F166" s="405"/>
      <c r="G166" s="405"/>
      <c r="H166" s="405"/>
      <c r="I166" s="405"/>
    </row>
    <row r="167" customFormat="false" ht="18" hidden="false" customHeight="true" outlineLevel="0" collapsed="false">
      <c r="A167" s="400" t="s">
        <v>2132</v>
      </c>
      <c r="B167" s="401" t="s">
        <v>2127</v>
      </c>
      <c r="C167" s="401" t="s">
        <v>2130</v>
      </c>
      <c r="D167" s="401" t="s">
        <v>2133</v>
      </c>
      <c r="E167" s="402"/>
      <c r="F167" s="402"/>
      <c r="G167" s="402"/>
      <c r="H167" s="402"/>
      <c r="I167" s="402"/>
    </row>
    <row r="168" customFormat="false" ht="18" hidden="false" customHeight="true" outlineLevel="0" collapsed="false">
      <c r="A168" s="403" t="s">
        <v>2134</v>
      </c>
      <c r="B168" s="404" t="s">
        <v>2135</v>
      </c>
      <c r="C168" s="404" t="s">
        <v>2130</v>
      </c>
      <c r="D168" s="404" t="s">
        <v>2136</v>
      </c>
      <c r="E168" s="405"/>
      <c r="F168" s="405"/>
      <c r="G168" s="405"/>
      <c r="H168" s="405"/>
      <c r="I168" s="405"/>
    </row>
    <row r="169" customFormat="false" ht="18" hidden="false" customHeight="true" outlineLevel="0" collapsed="false">
      <c r="A169" s="400" t="s">
        <v>2137</v>
      </c>
      <c r="B169" s="401" t="s">
        <v>2135</v>
      </c>
      <c r="C169" s="401" t="s">
        <v>2130</v>
      </c>
      <c r="D169" s="401" t="s">
        <v>2136</v>
      </c>
      <c r="E169" s="402"/>
      <c r="F169" s="402"/>
      <c r="G169" s="402"/>
      <c r="H169" s="402"/>
      <c r="I169" s="402"/>
    </row>
    <row r="170" customFormat="false" ht="18" hidden="false" customHeight="true" outlineLevel="0" collapsed="false">
      <c r="A170" s="403" t="s">
        <v>2138</v>
      </c>
      <c r="B170" s="404" t="s">
        <v>2135</v>
      </c>
      <c r="C170" s="404" t="s">
        <v>2130</v>
      </c>
      <c r="D170" s="404" t="s">
        <v>2136</v>
      </c>
      <c r="E170" s="405"/>
      <c r="F170" s="405"/>
      <c r="G170" s="405"/>
      <c r="H170" s="405"/>
      <c r="I170" s="405"/>
    </row>
    <row r="171" customFormat="false" ht="18" hidden="false" customHeight="true" outlineLevel="0" collapsed="false">
      <c r="A171" s="400" t="s">
        <v>2139</v>
      </c>
      <c r="B171" s="401" t="s">
        <v>2140</v>
      </c>
      <c r="C171" s="401" t="s">
        <v>2130</v>
      </c>
      <c r="D171" s="401" t="s">
        <v>2141</v>
      </c>
      <c r="E171" s="402"/>
      <c r="F171" s="402"/>
      <c r="G171" s="402"/>
      <c r="H171" s="402"/>
      <c r="I171" s="402"/>
    </row>
    <row r="172" customFormat="false" ht="18" hidden="false" customHeight="true" outlineLevel="0" collapsed="false">
      <c r="A172" s="403" t="s">
        <v>2142</v>
      </c>
      <c r="B172" s="404" t="s">
        <v>2143</v>
      </c>
      <c r="C172" s="404" t="s">
        <v>184</v>
      </c>
      <c r="D172" s="404" t="s">
        <v>2144</v>
      </c>
      <c r="E172" s="405"/>
      <c r="F172" s="405"/>
      <c r="G172" s="405"/>
      <c r="H172" s="405"/>
      <c r="I172" s="405"/>
    </row>
    <row r="175" customFormat="false" ht="25.5" hidden="false" customHeight="true" outlineLevel="0" collapsed="false">
      <c r="A175" s="415" t="s">
        <v>2145</v>
      </c>
      <c r="B175" s="415"/>
      <c r="C175" s="415"/>
      <c r="D175" s="415"/>
      <c r="E175" s="415"/>
      <c r="F175" s="415"/>
      <c r="G175" s="415"/>
      <c r="H175" s="415"/>
      <c r="I175" s="415"/>
    </row>
    <row r="176" customFormat="false" ht="3.75" hidden="false" customHeight="true" outlineLevel="0" collapsed="false">
      <c r="A176" s="416"/>
      <c r="B176" s="416"/>
      <c r="C176" s="416"/>
      <c r="D176" s="416"/>
      <c r="E176" s="416"/>
      <c r="F176" s="416"/>
      <c r="G176" s="416"/>
      <c r="H176" s="416"/>
      <c r="I176" s="416"/>
    </row>
    <row r="178" customFormat="false" ht="18" hidden="false" customHeight="true" outlineLevel="0" collapsed="false">
      <c r="A178" s="417" t="s">
        <v>2146</v>
      </c>
      <c r="B178" s="417"/>
      <c r="C178" s="417"/>
      <c r="D178" s="417"/>
      <c r="E178" s="417"/>
      <c r="F178" s="417"/>
      <c r="G178" s="417"/>
      <c r="H178" s="417"/>
      <c r="I178" s="417"/>
    </row>
    <row r="179" customFormat="false" ht="75" hidden="false" customHeight="true" outlineLevel="0" collapsed="false">
      <c r="A179" s="418" t="s">
        <v>287</v>
      </c>
      <c r="B179" s="419" t="s">
        <v>2147</v>
      </c>
      <c r="C179" s="419"/>
      <c r="D179" s="419"/>
      <c r="E179" s="419"/>
      <c r="F179" s="419"/>
      <c r="G179" s="419"/>
      <c r="H179" s="419"/>
      <c r="I179" s="419"/>
    </row>
    <row r="180" customFormat="false" ht="75" hidden="false" customHeight="true" outlineLevel="0" collapsed="false">
      <c r="A180" s="418" t="s">
        <v>1913</v>
      </c>
      <c r="B180" s="419" t="s">
        <v>2148</v>
      </c>
      <c r="C180" s="419"/>
      <c r="D180" s="419"/>
      <c r="E180" s="419"/>
      <c r="F180" s="419"/>
      <c r="G180" s="419"/>
      <c r="H180" s="419"/>
      <c r="I180" s="419"/>
    </row>
    <row r="181" customFormat="false" ht="75" hidden="false" customHeight="true" outlineLevel="0" collapsed="false">
      <c r="A181" s="418" t="s">
        <v>1918</v>
      </c>
      <c r="B181" s="419" t="s">
        <v>2149</v>
      </c>
      <c r="C181" s="419"/>
      <c r="D181" s="419"/>
      <c r="E181" s="419"/>
      <c r="F181" s="419"/>
      <c r="G181" s="419"/>
      <c r="H181" s="419"/>
      <c r="I181" s="419"/>
    </row>
    <row r="182" customFormat="false" ht="75" hidden="false" customHeight="true" outlineLevel="0" collapsed="false">
      <c r="A182" s="418" t="s">
        <v>293</v>
      </c>
      <c r="B182" s="419" t="s">
        <v>2150</v>
      </c>
      <c r="C182" s="419"/>
      <c r="D182" s="419"/>
      <c r="E182" s="419"/>
      <c r="F182" s="419"/>
      <c r="G182" s="419"/>
      <c r="H182" s="419"/>
      <c r="I182" s="419"/>
    </row>
    <row r="183" customFormat="false" ht="75" hidden="false" customHeight="true" outlineLevel="0" collapsed="false">
      <c r="A183" s="418" t="s">
        <v>1928</v>
      </c>
      <c r="B183" s="419" t="s">
        <v>2151</v>
      </c>
      <c r="C183" s="419"/>
      <c r="D183" s="419"/>
      <c r="E183" s="419"/>
      <c r="F183" s="419"/>
      <c r="G183" s="419"/>
      <c r="H183" s="419"/>
      <c r="I183" s="419"/>
    </row>
    <row r="184" customFormat="false" ht="75" hidden="false" customHeight="true" outlineLevel="0" collapsed="false">
      <c r="A184" s="418" t="s">
        <v>1935</v>
      </c>
      <c r="B184" s="419" t="s">
        <v>2152</v>
      </c>
      <c r="C184" s="419"/>
      <c r="D184" s="419"/>
      <c r="E184" s="419"/>
      <c r="F184" s="419"/>
      <c r="G184" s="419"/>
      <c r="H184" s="419"/>
      <c r="I184" s="419"/>
    </row>
    <row r="186" customFormat="false" ht="18" hidden="false" customHeight="true" outlineLevel="0" collapsed="false">
      <c r="A186" s="417" t="s">
        <v>2153</v>
      </c>
      <c r="B186" s="417"/>
      <c r="C186" s="417"/>
      <c r="D186" s="417"/>
      <c r="E186" s="417"/>
      <c r="F186" s="417"/>
      <c r="G186" s="417"/>
      <c r="H186" s="417"/>
      <c r="I186" s="417"/>
    </row>
    <row r="187" customFormat="false" ht="45" hidden="false" customHeight="true" outlineLevel="0" collapsed="false">
      <c r="A187" s="418" t="s">
        <v>2154</v>
      </c>
      <c r="B187" s="419" t="s">
        <v>2155</v>
      </c>
      <c r="C187" s="419"/>
      <c r="D187" s="419"/>
      <c r="E187" s="419"/>
      <c r="F187" s="419"/>
      <c r="G187" s="419"/>
      <c r="H187" s="419"/>
      <c r="I187" s="419"/>
    </row>
    <row r="188" customFormat="false" ht="99.75" hidden="false" customHeight="true" outlineLevel="0" collapsed="false">
      <c r="A188" s="418" t="s">
        <v>2156</v>
      </c>
      <c r="B188" s="419" t="s">
        <v>2157</v>
      </c>
      <c r="C188" s="419"/>
      <c r="D188" s="419"/>
      <c r="E188" s="419"/>
      <c r="F188" s="419"/>
      <c r="G188" s="419"/>
      <c r="H188" s="419"/>
      <c r="I188" s="419"/>
    </row>
    <row r="189" customFormat="false" ht="45" hidden="false" customHeight="true" outlineLevel="0" collapsed="false">
      <c r="A189" s="418" t="s">
        <v>2158</v>
      </c>
      <c r="B189" s="419" t="s">
        <v>2159</v>
      </c>
      <c r="C189" s="419"/>
      <c r="D189" s="419"/>
      <c r="E189" s="419"/>
      <c r="F189" s="419"/>
      <c r="G189" s="419"/>
      <c r="H189" s="419"/>
      <c r="I189" s="419"/>
    </row>
    <row r="190" customFormat="false" ht="45" hidden="false" customHeight="true" outlineLevel="0" collapsed="false">
      <c r="A190" s="418" t="s">
        <v>2160</v>
      </c>
      <c r="B190" s="419" t="s">
        <v>2161</v>
      </c>
      <c r="C190" s="419"/>
      <c r="D190" s="419"/>
      <c r="E190" s="419"/>
      <c r="F190" s="419"/>
      <c r="G190" s="419"/>
      <c r="H190" s="419"/>
      <c r="I190" s="419"/>
    </row>
    <row r="191" customFormat="false" ht="45" hidden="false" customHeight="true" outlineLevel="0" collapsed="false">
      <c r="A191" s="418" t="s">
        <v>2162</v>
      </c>
      <c r="B191" s="419" t="s">
        <v>2163</v>
      </c>
      <c r="C191" s="419"/>
      <c r="D191" s="419"/>
      <c r="E191" s="419"/>
      <c r="F191" s="419"/>
      <c r="G191" s="419"/>
      <c r="H191" s="419"/>
      <c r="I191" s="419"/>
    </row>
    <row r="192" customFormat="false" ht="45" hidden="false" customHeight="true" outlineLevel="0" collapsed="false">
      <c r="A192" s="418" t="s">
        <v>2164</v>
      </c>
      <c r="B192" s="419" t="s">
        <v>2165</v>
      </c>
      <c r="C192" s="419"/>
      <c r="D192" s="419"/>
      <c r="E192" s="419"/>
      <c r="F192" s="419"/>
      <c r="G192" s="419"/>
      <c r="H192" s="419"/>
      <c r="I192" s="419"/>
    </row>
    <row r="193" customFormat="false" ht="75" hidden="false" customHeight="true" outlineLevel="0" collapsed="false">
      <c r="A193" s="418" t="s">
        <v>2166</v>
      </c>
      <c r="B193" s="419" t="s">
        <v>2167</v>
      </c>
      <c r="C193" s="419"/>
      <c r="D193" s="419"/>
      <c r="E193" s="419"/>
      <c r="F193" s="419"/>
      <c r="G193" s="419"/>
      <c r="H193" s="419"/>
      <c r="I193" s="419"/>
    </row>
    <row r="194" customFormat="false" ht="75" hidden="false" customHeight="true" outlineLevel="0" collapsed="false">
      <c r="A194" s="418" t="s">
        <v>2168</v>
      </c>
      <c r="B194" s="419" t="s">
        <v>2169</v>
      </c>
      <c r="C194" s="419"/>
      <c r="D194" s="419"/>
      <c r="E194" s="419"/>
      <c r="F194" s="419"/>
      <c r="G194" s="419"/>
      <c r="H194" s="419"/>
      <c r="I194" s="419"/>
    </row>
    <row r="195" customFormat="false" ht="45" hidden="false" customHeight="true" outlineLevel="0" collapsed="false">
      <c r="A195" s="418" t="s">
        <v>2170</v>
      </c>
      <c r="B195" s="419" t="s">
        <v>2171</v>
      </c>
      <c r="C195" s="419"/>
      <c r="D195" s="419"/>
      <c r="E195" s="419"/>
      <c r="F195" s="419"/>
      <c r="G195" s="419"/>
      <c r="H195" s="419"/>
      <c r="I195" s="419"/>
    </row>
    <row r="196" customFormat="false" ht="99.75" hidden="false" customHeight="true" outlineLevel="0" collapsed="false">
      <c r="A196" s="418" t="s">
        <v>2172</v>
      </c>
      <c r="B196" s="419" t="s">
        <v>2173</v>
      </c>
      <c r="C196" s="419"/>
      <c r="D196" s="419"/>
      <c r="E196" s="419"/>
      <c r="F196" s="419"/>
      <c r="G196" s="419"/>
      <c r="H196" s="419"/>
      <c r="I196" s="419"/>
    </row>
    <row r="197" customFormat="false" ht="75" hidden="false" customHeight="true" outlineLevel="0" collapsed="false">
      <c r="A197" s="418" t="s">
        <v>2174</v>
      </c>
      <c r="B197" s="419" t="s">
        <v>2175</v>
      </c>
      <c r="C197" s="419"/>
      <c r="D197" s="419"/>
      <c r="E197" s="419"/>
      <c r="F197" s="419"/>
      <c r="G197" s="419"/>
      <c r="H197" s="419"/>
      <c r="I197" s="419"/>
    </row>
    <row r="199" customFormat="false" ht="18" hidden="false" customHeight="true" outlineLevel="0" collapsed="false">
      <c r="A199" s="417" t="s">
        <v>2176</v>
      </c>
      <c r="B199" s="417"/>
      <c r="C199" s="417"/>
      <c r="D199" s="417"/>
      <c r="E199" s="417"/>
      <c r="F199" s="417"/>
      <c r="G199" s="417"/>
      <c r="H199" s="417"/>
      <c r="I199" s="417"/>
    </row>
    <row r="200" customFormat="false" ht="30" hidden="false" customHeight="true" outlineLevel="0" collapsed="false">
      <c r="A200" s="418" t="s">
        <v>2177</v>
      </c>
      <c r="B200" s="419" t="s">
        <v>2178</v>
      </c>
      <c r="C200" s="419"/>
      <c r="D200" s="419"/>
      <c r="E200" s="419"/>
      <c r="F200" s="419"/>
      <c r="G200" s="419"/>
      <c r="H200" s="419"/>
      <c r="I200" s="419"/>
    </row>
    <row r="201" customFormat="false" ht="90" hidden="false" customHeight="true" outlineLevel="0" collapsed="false">
      <c r="A201" s="418" t="s">
        <v>2179</v>
      </c>
      <c r="B201" s="419" t="s">
        <v>2180</v>
      </c>
      <c r="C201" s="419"/>
      <c r="D201" s="419"/>
      <c r="E201" s="419"/>
      <c r="F201" s="419"/>
      <c r="G201" s="419"/>
      <c r="H201" s="419"/>
      <c r="I201" s="419"/>
    </row>
    <row r="202" customFormat="false" ht="60" hidden="false" customHeight="true" outlineLevel="0" collapsed="false">
      <c r="A202" s="418" t="s">
        <v>2181</v>
      </c>
      <c r="B202" s="419" t="s">
        <v>2182</v>
      </c>
      <c r="C202" s="419"/>
      <c r="D202" s="419"/>
      <c r="E202" s="419"/>
      <c r="F202" s="419"/>
      <c r="G202" s="419"/>
      <c r="H202" s="419"/>
      <c r="I202" s="419"/>
    </row>
    <row r="203" customFormat="false" ht="60" hidden="false" customHeight="true" outlineLevel="0" collapsed="false">
      <c r="A203" s="418" t="s">
        <v>2183</v>
      </c>
      <c r="B203" s="419" t="s">
        <v>2184</v>
      </c>
      <c r="C203" s="419"/>
      <c r="D203" s="419"/>
      <c r="E203" s="419"/>
      <c r="F203" s="419"/>
      <c r="G203" s="419"/>
      <c r="H203" s="419"/>
      <c r="I203" s="419"/>
    </row>
    <row r="204" customFormat="false" ht="30" hidden="false" customHeight="true" outlineLevel="0" collapsed="false">
      <c r="A204" s="418" t="s">
        <v>2185</v>
      </c>
      <c r="B204" s="419" t="s">
        <v>2186</v>
      </c>
      <c r="C204" s="419"/>
      <c r="D204" s="419"/>
      <c r="E204" s="419"/>
      <c r="F204" s="419"/>
      <c r="G204" s="419"/>
      <c r="H204" s="419"/>
      <c r="I204" s="419"/>
    </row>
  </sheetData>
  <mergeCells count="62">
    <mergeCell ref="A1:I1"/>
    <mergeCell ref="A2:I2"/>
    <mergeCell ref="A4:I4"/>
    <mergeCell ref="A5:I5"/>
    <mergeCell ref="A6:I6"/>
    <mergeCell ref="A16:I16"/>
    <mergeCell ref="A17:I17"/>
    <mergeCell ref="A18:I18"/>
    <mergeCell ref="A28:I28"/>
    <mergeCell ref="A30:I30"/>
    <mergeCell ref="A40:I40"/>
    <mergeCell ref="A42:I42"/>
    <mergeCell ref="A52:I52"/>
    <mergeCell ref="A54:I54"/>
    <mergeCell ref="A62:I62"/>
    <mergeCell ref="A64:I64"/>
    <mergeCell ref="A73:I73"/>
    <mergeCell ref="A75:I75"/>
    <mergeCell ref="A85:I85"/>
    <mergeCell ref="A88:I88"/>
    <mergeCell ref="A89:I89"/>
    <mergeCell ref="A90:I90"/>
    <mergeCell ref="A100:I100"/>
    <mergeCell ref="A111:I111"/>
    <mergeCell ref="A112:I112"/>
    <mergeCell ref="A113:I113"/>
    <mergeCell ref="A115:I115"/>
    <mergeCell ref="A121:I121"/>
    <mergeCell ref="A127:I127"/>
    <mergeCell ref="A130:I130"/>
    <mergeCell ref="A136:I136"/>
    <mergeCell ref="A145:I145"/>
    <mergeCell ref="A146:I146"/>
    <mergeCell ref="A158:I158"/>
    <mergeCell ref="A159:I159"/>
    <mergeCell ref="A175:I175"/>
    <mergeCell ref="A176:I176"/>
    <mergeCell ref="A178:I178"/>
    <mergeCell ref="B179:I179"/>
    <mergeCell ref="B180:I180"/>
    <mergeCell ref="B181:I181"/>
    <mergeCell ref="B182:I182"/>
    <mergeCell ref="B183:I183"/>
    <mergeCell ref="B184:I184"/>
    <mergeCell ref="A186:I186"/>
    <mergeCell ref="B187:I187"/>
    <mergeCell ref="B188:I188"/>
    <mergeCell ref="B189:I189"/>
    <mergeCell ref="B190:I190"/>
    <mergeCell ref="B191:I191"/>
    <mergeCell ref="B192:I192"/>
    <mergeCell ref="B193:I193"/>
    <mergeCell ref="B194:I194"/>
    <mergeCell ref="B195:I195"/>
    <mergeCell ref="B196:I196"/>
    <mergeCell ref="B197:I197"/>
    <mergeCell ref="A199:I199"/>
    <mergeCell ref="B200:I200"/>
    <mergeCell ref="B201:I201"/>
    <mergeCell ref="B202:I202"/>
    <mergeCell ref="B203:I203"/>
    <mergeCell ref="B204:I2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2026-05-04T13:21:25Z</dcterms:created>
  <dc:creator>J D</dc:creator>
  <dc:description/>
  <dc:language>en-US</dc:language>
  <cp:lastModifiedBy>J D</cp:lastModifiedBy>
  <dcterms:modified xsi:type="dcterms:W3CDTF">2026-06-07T16:09:37Z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